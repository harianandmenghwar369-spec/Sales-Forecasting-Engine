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a Input" sheetId="1" state="visible" r:id="rId3"/>
    <sheet name="2. Trend Analysis" sheetId="2" state="visible" r:id="rId4"/>
    <sheet name="3. Forecast Engine" sheetId="3" state="visible" r:id="rId5"/>
    <sheet name="4.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<sst xmlns="http://schemas.openxmlformats.org/spreadsheetml/2006/main" count="175" uniqueCount="73">
  <si>
    <t xml:space="preserve">SALES FORECASTING ENGINE — Data Input</t>
  </si>
  <si>
    <t xml:space="preserve">Enter your monthly sales data below. All other sheets update automatically.</t>
  </si>
  <si>
    <t xml:space="preserve">#</t>
  </si>
  <si>
    <t xml:space="preserve">Month</t>
  </si>
  <si>
    <t xml:space="preserve">Year</t>
  </si>
  <si>
    <t xml:space="preserve">Product</t>
  </si>
  <si>
    <t xml:space="preserve">Units Sold</t>
  </si>
  <si>
    <t xml:space="preserve">Revenue ($)</t>
  </si>
  <si>
    <t xml:space="preserve">Notes</t>
  </si>
  <si>
    <t xml:space="preserve">January</t>
  </si>
  <si>
    <t xml:space="preserve">Product A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</si>
  <si>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</si>
  <si>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</si>
  <si>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</si>
  <si>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</si>
  <si>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</si>
  <si>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</si>
  <si>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</si>
  <si>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</si>
  <si>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</si>
  <si>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</si>
  <si>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</si>
  <si>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Note: Blue values = inputs you can change. Add more rows as needed. Sheet auto-extends to row 500.</t>
  </si>
  <si>
    <t xml:space="preserve">TREND ANALYSIS — Historical Patterns &amp; Seasonality</t>
  </si>
  <si>
    <t xml:space="preserve">Automatic calculations from Data Input sheet. Shows growth trend, seasonal index, and YoY comparison.</t>
  </si>
  <si>
    <t xml:space="preserve">SECTION A — Monthly Revenue by Year &amp; Seasonal Index</t>
  </si>
  <si>
    <t xml:space="preserve">2022 Revenue</t>
  </si>
  <si>
    <t xml:space="preserve">2023 Revenue</t>
  </si>
  <si>
    <t xml:space="preserve">2024 Revenue</t>
  </si>
  <si>
    <t xml:space="preserve">3-Yr Average</t>
  </si>
  <si>
    <t xml:space="preserve">Seasonal Index</t>
  </si>
  <si>
    <t xml:space="preserve">vs Avg</t>
  </si>
  <si>
    <t xml:space="preserve">Status</t>
  </si>
  <si>
    <t xml:space="preserve">TOTAL / AVG</t>
  </si>
  <si>
    <t xml:space="preserve">SECTION B — Year-over-Year Growth Analysis</t>
  </si>
  <si>
    <t xml:space="preserve">2022→2023 Growth</t>
  </si>
  <si>
    <t xml:space="preserve">2023→2024 Growth</t>
  </si>
  <si>
    <t xml:space="preserve">Avg YoY Growth</t>
  </si>
  <si>
    <t xml:space="preserve">Trend Direction</t>
  </si>
  <si>
    <t xml:space="preserve">FORECAST ENGINE — 12-Month Forward Projection</t>
  </si>
  <si>
    <t xml:space="preserve">Uses FORECAST.ETS (exponential smoothing) with seasonality + confidence intervals. Adjust assumptions in yellow cells.</t>
  </si>
  <si>
    <t xml:space="preserve">⚙ ASSUMPTIONS (yellow = change these)</t>
  </si>
  <si>
    <t xml:space="preserve">Growth rate assumption (%)</t>
  </si>
  <si>
    <t xml:space="preserve">Confidence interval level (%)</t>
  </si>
  <si>
    <t xml:space="preserve">Monthly Target ($)</t>
  </si>
  <si>
    <t xml:space="preserve">Forecast Revenue</t>
  </si>
  <si>
    <t xml:space="preserve">Lower Bound (95%)</t>
  </si>
  <si>
    <t xml:space="preserve">Upper Bound (95%)</t>
  </si>
  <si>
    <t xml:space="preserve">Monthly Target</t>
  </si>
  <si>
    <t xml:space="preserve">vs Target</t>
  </si>
  <si>
    <t xml:space="preserve">12-MONTH TOTALS</t>
  </si>
  <si>
    <t xml:space="preserve">SALES FORECASTING DASHBOARD</t>
  </si>
  <si>
    <t xml:space="preserve">Live summary — updates automatically when you change data in sheet 1</t>
  </si>
  <si>
    <t xml:space="preserve">KEY PERFORMANCE INDICATORS</t>
  </si>
  <si>
    <t xml:space="preserve">Total 2024 Revenue</t>
  </si>
  <si>
    <t xml:space="preserve">YoY Growth 2023→24</t>
  </si>
  <si>
    <t xml:space="preserve">Best Month 2024</t>
  </si>
  <si>
    <t xml:space="preserve">12-Month Forecast</t>
  </si>
  <si>
    <t xml:space="preserve">AUTOMATED INSIGHTS</t>
  </si>
  <si>
    <t xml:space="preserve">Peak Revenue Month 2024</t>
  </si>
  <si>
    <t xml:space="preserve">Weakest Month 2024</t>
  </si>
  <si>
    <t xml:space="preserve">Average Monthly 2024 ($)</t>
  </si>
  <si>
    <t xml:space="preserve">Forecast vs 2024 Avg (%)</t>
  </si>
  <si>
    <t xml:space="preserve">Months on track (Forecast)</t>
  </si>
  <si>
    <t xml:space="preserve">Months below target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</si>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</sst>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0"/>
    <numFmt numFmtId="168" formatCode="0.0%"/>
    <numFmt numFmtId="169" formatCode="0%"/>
    <numFmt numFmtId="170" formatCode="\$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D6E4F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375623"/>
      <name val="Arial"/>
      <family val="0"/>
      <charset val="1"/>
    </font>
    <font>
      <b val="true"/>
      <sz val="20"/>
      <color rgb="FF7030A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F8F8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8F8F8"/>
      </patternFill>
    </fill>
    <fill>
      <patternFill patternType="solid">
        <fgColor rgb="FFD6E4F0"/>
        <bgColor rgb="FFD9D9D9"/>
      </patternFill>
    </fill>
    <fill>
      <patternFill patternType="solid">
        <fgColor rgb="FFFFF2CC"/>
        <bgColor rgb="FFEBF5E1"/>
      </patternFill>
    </fill>
    <fill>
      <patternFill patternType="solid">
        <fgColor rgb="FFEBF5E1"/>
        <bgColor rgb="FFF2F2F2"/>
      </patternFill>
    </fill>
    <fill>
      <patternFill patternType="solid">
        <fgColor rgb="FFF5FFF0"/>
        <bgColor rgb="FFF9F9F9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375623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FF2CC"/>
      <rgbColor rgb="FFEBF5E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5FFF0"/>
      <rgbColor rgb="FFF2F2F2"/>
      <rgbColor rgb="FFF8F8F8"/>
      <rgbColor rgb="FFF9F9F9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Historical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Dashboard'!B30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Dashboard'!$A$31:$A$42</c:f>
              <c:strCache>
                <c:ptCount val="12"/>
                <c:pt idx="0">
                  <c:v>Forecast vs 2024 Avg (%)</c:v>
                </c:pt>
                <c:pt idx="1">
                  <c:v>Months on track (Forecast)</c:v>
                </c:pt>
                <c:pt idx="2">
                  <c:v>Months below target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Dashboard'!$B$31:$B$42</c:f>
              <c:numCache>
                <c:formatCode>\$#,##0</c:formatCode>
                <c:ptCount val="12"/>
                <c:pt idx="3">
                  <c:v>45047</c:v>
                </c:pt>
                <c:pt idx="4">
                  <c:v>48102</c:v>
                </c:pt>
                <c:pt idx="5">
                  <c:v>50772</c:v>
                </c:pt>
                <c:pt idx="6">
                  <c:v>48401</c:v>
                </c:pt>
                <c:pt idx="7">
                  <c:v>52841</c:v>
                </c:pt>
                <c:pt idx="8">
                  <c:v>50114</c:v>
                </c:pt>
                <c:pt idx="9">
                  <c:v>47954</c:v>
                </c:pt>
                <c:pt idx="10">
                  <c:v>57566</c:v>
                </c:pt>
                <c:pt idx="11">
                  <c:v>62113</c:v>
                </c:pt>
              </c:numCache>
            </c:numRef>
          </c:val>
        </c:ser>
        <c:ser>
          <c:idx val="1"/>
          <c:order val="1"/>
          <c:tx>
            <c:strRef>
              <c:f>'4. Dashboard'!C30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Dashboard'!$A$31:$A$42</c:f>
              <c:strCache>
                <c:ptCount val="12"/>
                <c:pt idx="0">
                  <c:v>Forecast vs 2024 Avg (%)</c:v>
                </c:pt>
                <c:pt idx="1">
                  <c:v>Months on track (Forecast)</c:v>
                </c:pt>
                <c:pt idx="2">
                  <c:v>Months below target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Dashboard'!$C$31:$C$42</c:f>
              <c:numCache>
                <c:formatCode>\$#,##0</c:formatCode>
                <c:ptCount val="12"/>
                <c:pt idx="3">
                  <c:v>48287</c:v>
                </c:pt>
                <c:pt idx="4">
                  <c:v>52755</c:v>
                </c:pt>
                <c:pt idx="5">
                  <c:v>56432</c:v>
                </c:pt>
                <c:pt idx="6">
                  <c:v>55096</c:v>
                </c:pt>
                <c:pt idx="7">
                  <c:v>56889</c:v>
                </c:pt>
                <c:pt idx="8">
                  <c:v>55574</c:v>
                </c:pt>
                <c:pt idx="9">
                  <c:v>52081</c:v>
                </c:pt>
                <c:pt idx="10">
                  <c:v>63420</c:v>
                </c:pt>
                <c:pt idx="11">
                  <c:v>68983</c:v>
                </c:pt>
              </c:numCache>
            </c:numRef>
          </c:val>
        </c:ser>
        <c:ser>
          <c:idx val="2"/>
          <c:order val="2"/>
          <c:tx>
            <c:strRef>
              <c:f>'4. Dashboard'!D30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Dashboard'!$A$31:$A$42</c:f>
              <c:strCache>
                <c:ptCount val="12"/>
                <c:pt idx="0">
                  <c:v>Forecast vs 2024 Avg (%)</c:v>
                </c:pt>
                <c:pt idx="1">
                  <c:v>Months on track (Forecast)</c:v>
                </c:pt>
                <c:pt idx="2">
                  <c:v>Months below target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Dashboard'!$D$31:$D$42</c:f>
              <c:numCache>
                <c:formatCode>\$#,##0</c:formatCode>
                <c:ptCount val="12"/>
                <c:pt idx="3">
                  <c:v>53721</c:v>
                </c:pt>
                <c:pt idx="4">
                  <c:v>57838</c:v>
                </c:pt>
                <c:pt idx="5">
                  <c:v>62264</c:v>
                </c:pt>
                <c:pt idx="6">
                  <c:v>61961</c:v>
                </c:pt>
                <c:pt idx="7">
                  <c:v>63318</c:v>
                </c:pt>
                <c:pt idx="8">
                  <c:v>59798</c:v>
                </c:pt>
                <c:pt idx="9">
                  <c:v>58643</c:v>
                </c:pt>
                <c:pt idx="10">
                  <c:v>71246</c:v>
                </c:pt>
                <c:pt idx="11">
                  <c:v>75800</c:v>
                </c:pt>
              </c:numCache>
            </c:numRef>
          </c:val>
        </c:ser>
        <c:gapWidth val="150"/>
        <c:overlap val="0"/>
        <c:axId val="72520661"/>
        <c:axId val="10343423"/>
      </c:barChart>
      <c:lineChart>
        <c:grouping val="standard"/>
        <c:varyColors val="0"/>
        <c:ser>
          <c:idx val="3"/>
          <c:order val="3"/>
          <c:tx>
            <c:strRef>
              <c:f>'4. Dashboard'!E30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48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Dashboard'!$A$31:$A$42</c:f>
              <c:strCache>
                <c:ptCount val="12"/>
                <c:pt idx="0">
                  <c:v>Forecast vs 2024 Avg (%)</c:v>
                </c:pt>
                <c:pt idx="1">
                  <c:v>Months on track (Forecast)</c:v>
                </c:pt>
                <c:pt idx="2">
                  <c:v>Months below target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Dashboard'!$E$31:$E$42</c:f>
              <c:numCache>
                <c:formatCode>\$#,##0</c:formatCode>
                <c:ptCount val="12"/>
                <c:pt idx="3">
                  <c:v>61761.3118069964</c:v>
                </c:pt>
                <c:pt idx="4">
                  <c:v>67289.5812843069</c:v>
                </c:pt>
                <c:pt idx="5">
                  <c:v>72540.5612113401</c:v>
                </c:pt>
                <c:pt idx="6">
                  <c:v>71490.9547272913</c:v>
                </c:pt>
                <c:pt idx="7">
                  <c:v>75467.8955573653</c:v>
                </c:pt>
                <c:pt idx="8">
                  <c:v>72837.0164495815</c:v>
                </c:pt>
                <c:pt idx="9">
                  <c:v>70480.0854861425</c:v>
                </c:pt>
                <c:pt idx="10">
                  <c:v>86158.5621668902</c:v>
                </c:pt>
                <c:pt idx="11">
                  <c:v>93564.8630430579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2520661"/>
        <c:axId val="10343423"/>
      </c:lineChart>
      <c:catAx>
        <c:axId val="72520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43423"/>
        <c:crosses val="autoZero"/>
        <c:auto val="1"/>
        <c:lblAlgn val="ctr"/>
        <c:lblOffset val="100"/>
        <c:noMultiLvlLbl val="0"/>
      </c:catAx>
      <c:valAx>
        <c:axId val="10343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20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 Index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Dashboard'!H30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7030a0"/>
            </a:solidFill>
            <a:ln w="20160">
              <a:solidFill>
                <a:srgbClr val="7030a0"/>
              </a:solidFill>
              <a:round/>
            </a:ln>
          </c:spPr>
          <c:marker>
            <c:symbol val="diamond"/>
            <c:size val="6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Dashboard'!$A$31:$A$42</c:f>
              <c:strCache>
                <c:ptCount val="12"/>
                <c:pt idx="0">
                  <c:v>Forecast vs 2024 Avg (%)</c:v>
                </c:pt>
                <c:pt idx="1">
                  <c:v>Months on track (Forecast)</c:v>
                </c:pt>
                <c:pt idx="2">
                  <c:v>Months below target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'4. Dashboard'!$H$31:$H$42</c:f>
              <c:numCache>
                <c:formatCode>0.00</c:formatCode>
                <c:ptCount val="12"/>
                <c:pt idx="3">
                  <c:v>0.920164879429962</c:v>
                </c:pt>
                <c:pt idx="4">
                  <c:v>0.992999663670992</c:v>
                </c:pt>
                <c:pt idx="5">
                  <c:v>1.06040938279716</c:v>
                </c:pt>
                <c:pt idx="6">
                  <c:v>1.03531767448045</c:v>
                </c:pt>
                <c:pt idx="7">
                  <c:v>1.08281045904999</c:v>
                </c:pt>
                <c:pt idx="8">
                  <c:v>1.0354928784288</c:v>
                </c:pt>
                <c:pt idx="9">
                  <c:v>0.99289328984521</c:v>
                </c:pt>
                <c:pt idx="10">
                  <c:v>1.20285019280256</c:v>
                </c:pt>
                <c:pt idx="11">
                  <c:v>1.29460700346497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143253"/>
        <c:axId val="22934054"/>
      </c:lineChart>
      <c:catAx>
        <c:axId val="5143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34054"/>
        <c:crosses val="autoZero"/>
        <c:auto val="1"/>
        <c:lblAlgn val="ctr"/>
        <c:lblOffset val="100"/>
        <c:noMultiLvlLbl val="0"/>
      </c:catAx>
      <c:valAx>
        <c:axId val="22934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(1.00 = average)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3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10</xdr:col>
      <xdr:colOff>165600</xdr:colOff>
      <xdr:row>33</xdr:row>
      <xdr:rowOff>143280</xdr:rowOff>
    </xdr:to>
    <xdr:graphicFrame>
      <xdr:nvGraphicFramePr>
        <xdr:cNvPr id="0" name="Chart 1"/>
        <xdr:cNvGraphicFramePr/>
      </xdr:nvGraphicFramePr>
      <xdr:xfrm>
        <a:off x="0" y="199080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15</xdr:col>
      <xdr:colOff>47880</xdr:colOff>
      <xdr:row>29</xdr:row>
      <xdr:rowOff>185040</xdr:rowOff>
    </xdr:to>
    <xdr:graphicFrame>
      <xdr:nvGraphicFramePr>
        <xdr:cNvPr id="1" name="Chart 2"/>
        <xdr:cNvGraphicFramePr/>
      </xdr:nvGraphicFramePr>
      <xdr:xfrm>
        <a:off x="5427360" y="1990800"/>
        <a:ext cx="575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1.7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8" hidden="false" customHeight="true" outlineLevel="0" collapsed="false">
      <c r="A5" s="6" t="n">
        <v>1</v>
      </c>
      <c r="B5" s="6" t="s">
        <v>9</v>
      </c>
      <c r="C5" s="6" t="n">
        <v>2022</v>
      </c>
      <c r="D5" s="7" t="s">
        <v>10</v>
      </c>
      <c r="E5" s="8" t="n">
        <v>1326</v>
      </c>
      <c r="F5" s="9" t="n">
        <v>38019</v>
      </c>
      <c r="G5" s="7"/>
    </row>
    <row r="6" customFormat="false" ht="18" hidden="false" customHeight="true" outlineLevel="0" collapsed="false">
      <c r="A6" s="10" t="n">
        <v>2</v>
      </c>
      <c r="B6" s="10" t="s">
        <v>11</v>
      </c>
      <c r="C6" s="10" t="n">
        <v>2022</v>
      </c>
      <c r="D6" s="11" t="s">
        <v>10</v>
      </c>
      <c r="E6" s="12" t="n">
        <v>1188</v>
      </c>
      <c r="F6" s="13" t="n">
        <v>35007</v>
      </c>
      <c r="G6" s="11"/>
    </row>
    <row r="7" customFormat="false" ht="18" hidden="false" customHeight="true" outlineLevel="0" collapsed="false">
      <c r="A7" s="6" t="n">
        <v>3</v>
      </c>
      <c r="B7" s="6" t="s">
        <v>12</v>
      </c>
      <c r="C7" s="6" t="n">
        <v>2022</v>
      </c>
      <c r="D7" s="7" t="s">
        <v>10</v>
      </c>
      <c r="E7" s="8" t="n">
        <v>1241</v>
      </c>
      <c r="F7" s="9" t="n">
        <v>40219</v>
      </c>
      <c r="G7" s="7"/>
    </row>
    <row r="8" customFormat="false" ht="18" hidden="false" customHeight="true" outlineLevel="0" collapsed="false">
      <c r="A8" s="10" t="n">
        <v>4</v>
      </c>
      <c r="B8" s="10" t="s">
        <v>13</v>
      </c>
      <c r="C8" s="10" t="n">
        <v>2022</v>
      </c>
      <c r="D8" s="11" t="s">
        <v>10</v>
      </c>
      <c r="E8" s="12" t="n">
        <v>1388</v>
      </c>
      <c r="F8" s="13" t="n">
        <v>45047</v>
      </c>
      <c r="G8" s="11"/>
    </row>
    <row r="9" customFormat="false" ht="18" hidden="false" customHeight="true" outlineLevel="0" collapsed="false">
      <c r="A9" s="6" t="n">
        <v>5</v>
      </c>
      <c r="B9" s="6" t="s">
        <v>14</v>
      </c>
      <c r="C9" s="6" t="n">
        <v>2022</v>
      </c>
      <c r="D9" s="7" t="s">
        <v>10</v>
      </c>
      <c r="E9" s="8" t="n">
        <v>1687</v>
      </c>
      <c r="F9" s="9" t="n">
        <v>48102</v>
      </c>
      <c r="G9" s="7"/>
    </row>
    <row r="10" customFormat="false" ht="18" hidden="false" customHeight="true" outlineLevel="0" collapsed="false">
      <c r="A10" s="10" t="n">
        <v>6</v>
      </c>
      <c r="B10" s="10" t="s">
        <v>15</v>
      </c>
      <c r="C10" s="10" t="n">
        <v>2022</v>
      </c>
      <c r="D10" s="11" t="s">
        <v>10</v>
      </c>
      <c r="E10" s="12" t="n">
        <v>1801</v>
      </c>
      <c r="F10" s="13" t="n">
        <v>50772</v>
      </c>
      <c r="G10" s="11"/>
    </row>
    <row r="11" customFormat="false" ht="18" hidden="false" customHeight="true" outlineLevel="0" collapsed="false">
      <c r="A11" s="6" t="n">
        <v>7</v>
      </c>
      <c r="B11" s="6" t="s">
        <v>16</v>
      </c>
      <c r="C11" s="6" t="n">
        <v>2022</v>
      </c>
      <c r="D11" s="7" t="s">
        <v>10</v>
      </c>
      <c r="E11" s="8" t="n">
        <v>1651</v>
      </c>
      <c r="F11" s="9" t="n">
        <v>48401</v>
      </c>
      <c r="G11" s="7"/>
    </row>
    <row r="12" customFormat="false" ht="18" hidden="false" customHeight="true" outlineLevel="0" collapsed="false">
      <c r="A12" s="10" t="n">
        <v>8</v>
      </c>
      <c r="B12" s="10" t="s">
        <v>17</v>
      </c>
      <c r="C12" s="10" t="n">
        <v>2022</v>
      </c>
      <c r="D12" s="11" t="s">
        <v>10</v>
      </c>
      <c r="E12" s="12" t="n">
        <v>1672</v>
      </c>
      <c r="F12" s="13" t="n">
        <v>52841</v>
      </c>
      <c r="G12" s="11"/>
    </row>
    <row r="13" customFormat="false" ht="18" hidden="false" customHeight="true" outlineLevel="0" collapsed="false">
      <c r="A13" s="6" t="n">
        <v>9</v>
      </c>
      <c r="B13" s="6" t="s">
        <v>18</v>
      </c>
      <c r="C13" s="6" t="n">
        <v>2022</v>
      </c>
      <c r="D13" s="7" t="s">
        <v>10</v>
      </c>
      <c r="E13" s="8" t="n">
        <v>1717</v>
      </c>
      <c r="F13" s="9" t="n">
        <v>50114</v>
      </c>
      <c r="G13" s="7"/>
    </row>
    <row r="14" customFormat="false" ht="18" hidden="false" customHeight="true" outlineLevel="0" collapsed="false">
      <c r="A14" s="10" t="n">
        <v>10</v>
      </c>
      <c r="B14" s="10" t="s">
        <v>19</v>
      </c>
      <c r="C14" s="10" t="n">
        <v>2022</v>
      </c>
      <c r="D14" s="11" t="s">
        <v>10</v>
      </c>
      <c r="E14" s="12" t="n">
        <v>1489</v>
      </c>
      <c r="F14" s="13" t="n">
        <v>47954</v>
      </c>
      <c r="G14" s="11"/>
    </row>
    <row r="15" customFormat="false" ht="18" hidden="false" customHeight="true" outlineLevel="0" collapsed="false">
      <c r="A15" s="6" t="n">
        <v>11</v>
      </c>
      <c r="B15" s="6" t="s">
        <v>20</v>
      </c>
      <c r="C15" s="6" t="n">
        <v>2022</v>
      </c>
      <c r="D15" s="7" t="s">
        <v>10</v>
      </c>
      <c r="E15" s="8" t="n">
        <v>1963</v>
      </c>
      <c r="F15" s="9" t="n">
        <v>57566</v>
      </c>
      <c r="G15" s="7"/>
    </row>
    <row r="16" customFormat="false" ht="18" hidden="false" customHeight="true" outlineLevel="0" collapsed="false">
      <c r="A16" s="10" t="n">
        <v>12</v>
      </c>
      <c r="B16" s="10" t="s">
        <v>21</v>
      </c>
      <c r="C16" s="10" t="n">
        <v>2022</v>
      </c>
      <c r="D16" s="11" t="s">
        <v>10</v>
      </c>
      <c r="E16" s="12" t="n">
        <v>2094</v>
      </c>
      <c r="F16" s="13" t="n">
        <v>62113</v>
      </c>
      <c r="G16" s="11"/>
    </row>
    <row r="17" customFormat="false" ht="18" hidden="false" customHeight="true" outlineLevel="0" collapsed="false">
      <c r="A17" s="6" t="n">
        <v>13</v>
      </c>
      <c r="B17" s="6" t="s">
        <v>9</v>
      </c>
      <c r="C17" s="6" t="n">
        <v>2023</v>
      </c>
      <c r="D17" s="7" t="s">
        <v>10</v>
      </c>
      <c r="E17" s="8" t="n">
        <v>1224</v>
      </c>
      <c r="F17" s="9" t="n">
        <v>39854</v>
      </c>
      <c r="G17" s="7"/>
    </row>
    <row r="18" customFormat="false" ht="18" hidden="false" customHeight="true" outlineLevel="0" collapsed="false">
      <c r="A18" s="10" t="n">
        <v>14</v>
      </c>
      <c r="B18" s="10" t="s">
        <v>11</v>
      </c>
      <c r="C18" s="10" t="n">
        <v>2023</v>
      </c>
      <c r="D18" s="11" t="s">
        <v>10</v>
      </c>
      <c r="E18" s="12" t="n">
        <v>1204</v>
      </c>
      <c r="F18" s="13" t="n">
        <v>38746</v>
      </c>
      <c r="G18" s="11"/>
    </row>
    <row r="19" customFormat="false" ht="18" hidden="false" customHeight="true" outlineLevel="0" collapsed="false">
      <c r="A19" s="6" t="n">
        <v>15</v>
      </c>
      <c r="B19" s="6" t="s">
        <v>12</v>
      </c>
      <c r="C19" s="6" t="n">
        <v>2023</v>
      </c>
      <c r="D19" s="7" t="s">
        <v>10</v>
      </c>
      <c r="E19" s="8" t="n">
        <v>1547</v>
      </c>
      <c r="F19" s="9" t="n">
        <v>45901</v>
      </c>
      <c r="G19" s="7"/>
    </row>
    <row r="20" customFormat="false" ht="18" hidden="false" customHeight="true" outlineLevel="0" collapsed="false">
      <c r="A20" s="10" t="n">
        <v>16</v>
      </c>
      <c r="B20" s="10" t="s">
        <v>13</v>
      </c>
      <c r="C20" s="10" t="n">
        <v>2023</v>
      </c>
      <c r="D20" s="11" t="s">
        <v>10</v>
      </c>
      <c r="E20" s="12" t="n">
        <v>1431</v>
      </c>
      <c r="F20" s="13" t="n">
        <v>48287</v>
      </c>
      <c r="G20" s="11"/>
    </row>
    <row r="21" customFormat="false" ht="18" hidden="false" customHeight="true" outlineLevel="0" collapsed="false">
      <c r="A21" s="6" t="n">
        <v>17</v>
      </c>
      <c r="B21" s="6" t="s">
        <v>14</v>
      </c>
      <c r="C21" s="6" t="n">
        <v>2023</v>
      </c>
      <c r="D21" s="7" t="s">
        <v>10</v>
      </c>
      <c r="E21" s="8" t="n">
        <v>1844</v>
      </c>
      <c r="F21" s="9" t="n">
        <v>52755</v>
      </c>
      <c r="G21" s="7"/>
    </row>
    <row r="22" customFormat="false" ht="18" hidden="false" customHeight="true" outlineLevel="0" collapsed="false">
      <c r="A22" s="10" t="n">
        <v>18</v>
      </c>
      <c r="B22" s="10" t="s">
        <v>15</v>
      </c>
      <c r="C22" s="10" t="n">
        <v>2023</v>
      </c>
      <c r="D22" s="11" t="s">
        <v>10</v>
      </c>
      <c r="E22" s="12" t="n">
        <v>1975</v>
      </c>
      <c r="F22" s="13" t="n">
        <v>56432</v>
      </c>
      <c r="G22" s="11"/>
    </row>
    <row r="23" customFormat="false" ht="18" hidden="false" customHeight="true" outlineLevel="0" collapsed="false">
      <c r="A23" s="6" t="n">
        <v>19</v>
      </c>
      <c r="B23" s="6" t="s">
        <v>16</v>
      </c>
      <c r="C23" s="6" t="n">
        <v>2023</v>
      </c>
      <c r="D23" s="7" t="s">
        <v>10</v>
      </c>
      <c r="E23" s="8" t="n">
        <v>1742</v>
      </c>
      <c r="F23" s="9" t="n">
        <v>55096</v>
      </c>
      <c r="G23" s="7"/>
    </row>
    <row r="24" customFormat="false" ht="18" hidden="false" customHeight="true" outlineLevel="0" collapsed="false">
      <c r="A24" s="10" t="n">
        <v>20</v>
      </c>
      <c r="B24" s="10" t="s">
        <v>17</v>
      </c>
      <c r="C24" s="10" t="n">
        <v>2023</v>
      </c>
      <c r="D24" s="11" t="s">
        <v>10</v>
      </c>
      <c r="E24" s="12" t="n">
        <v>1757</v>
      </c>
      <c r="F24" s="13" t="n">
        <v>56889</v>
      </c>
      <c r="G24" s="11"/>
    </row>
    <row r="25" customFormat="false" ht="18" hidden="false" customHeight="true" outlineLevel="0" collapsed="false">
      <c r="A25" s="6" t="n">
        <v>21</v>
      </c>
      <c r="B25" s="6" t="s">
        <v>18</v>
      </c>
      <c r="C25" s="6" t="n">
        <v>2023</v>
      </c>
      <c r="D25" s="7" t="s">
        <v>10</v>
      </c>
      <c r="E25" s="8" t="n">
        <v>1933</v>
      </c>
      <c r="F25" s="9" t="n">
        <v>55574</v>
      </c>
      <c r="G25" s="7"/>
    </row>
    <row r="26" customFormat="false" ht="18" hidden="false" customHeight="true" outlineLevel="0" collapsed="false">
      <c r="A26" s="10" t="n">
        <v>22</v>
      </c>
      <c r="B26" s="10" t="s">
        <v>19</v>
      </c>
      <c r="C26" s="10" t="n">
        <v>2023</v>
      </c>
      <c r="D26" s="11" t="s">
        <v>10</v>
      </c>
      <c r="E26" s="12" t="n">
        <v>1829</v>
      </c>
      <c r="F26" s="13" t="n">
        <v>52081</v>
      </c>
      <c r="G26" s="11"/>
    </row>
    <row r="27" customFormat="false" ht="18" hidden="false" customHeight="true" outlineLevel="0" collapsed="false">
      <c r="A27" s="6" t="n">
        <v>23</v>
      </c>
      <c r="B27" s="6" t="s">
        <v>20</v>
      </c>
      <c r="C27" s="6" t="n">
        <v>2023</v>
      </c>
      <c r="D27" s="7" t="s">
        <v>10</v>
      </c>
      <c r="E27" s="8" t="n">
        <v>1923</v>
      </c>
      <c r="F27" s="9" t="n">
        <v>63420</v>
      </c>
      <c r="G27" s="7"/>
    </row>
    <row r="28" customFormat="false" ht="18" hidden="false" customHeight="true" outlineLevel="0" collapsed="false">
      <c r="A28" s="10" t="n">
        <v>24</v>
      </c>
      <c r="B28" s="10" t="s">
        <v>21</v>
      </c>
      <c r="C28" s="10" t="n">
        <v>2023</v>
      </c>
      <c r="D28" s="11" t="s">
        <v>10</v>
      </c>
      <c r="E28" s="12" t="n">
        <v>2071</v>
      </c>
      <c r="F28" s="13" t="n">
        <v>68983</v>
      </c>
      <c r="G28" s="11"/>
    </row>
    <row r="29" customFormat="false" ht="18" hidden="false" customHeight="true" outlineLevel="0" collapsed="false">
      <c r="A29" s="6" t="n">
        <v>25</v>
      </c>
      <c r="B29" s="6" t="s">
        <v>9</v>
      </c>
      <c r="C29" s="6" t="n">
        <v>2024</v>
      </c>
      <c r="D29" s="7" t="s">
        <v>10</v>
      </c>
      <c r="E29" s="8" t="n">
        <v>1454</v>
      </c>
      <c r="F29" s="9" t="n">
        <v>45737</v>
      </c>
      <c r="G29" s="7"/>
    </row>
    <row r="30" customFormat="false" ht="18" hidden="false" customHeight="true" outlineLevel="0" collapsed="false">
      <c r="A30" s="10" t="n">
        <v>26</v>
      </c>
      <c r="B30" s="10" t="s">
        <v>11</v>
      </c>
      <c r="C30" s="10" t="n">
        <v>2024</v>
      </c>
      <c r="D30" s="11" t="s">
        <v>10</v>
      </c>
      <c r="E30" s="12" t="n">
        <v>1590</v>
      </c>
      <c r="F30" s="13" t="n">
        <v>45190</v>
      </c>
      <c r="G30" s="11"/>
    </row>
    <row r="31" customFormat="false" ht="18" hidden="false" customHeight="true" outlineLevel="0" collapsed="false">
      <c r="A31" s="6" t="n">
        <v>27</v>
      </c>
      <c r="B31" s="6" t="s">
        <v>12</v>
      </c>
      <c r="C31" s="6" t="n">
        <v>2024</v>
      </c>
      <c r="D31" s="7" t="s">
        <v>10</v>
      </c>
      <c r="E31" s="8" t="n">
        <v>1773</v>
      </c>
      <c r="F31" s="9" t="n">
        <v>52076</v>
      </c>
      <c r="G31" s="7"/>
    </row>
    <row r="32" customFormat="false" ht="18" hidden="false" customHeight="true" outlineLevel="0" collapsed="false">
      <c r="A32" s="10" t="n">
        <v>28</v>
      </c>
      <c r="B32" s="10" t="s">
        <v>13</v>
      </c>
      <c r="C32" s="10" t="n">
        <v>2024</v>
      </c>
      <c r="D32" s="11" t="s">
        <v>10</v>
      </c>
      <c r="E32" s="12" t="n">
        <v>1584</v>
      </c>
      <c r="F32" s="13" t="n">
        <v>53721</v>
      </c>
      <c r="G32" s="11"/>
    </row>
    <row r="33" customFormat="false" ht="18" hidden="false" customHeight="true" outlineLevel="0" collapsed="false">
      <c r="A33" s="6" t="n">
        <v>29</v>
      </c>
      <c r="B33" s="6" t="s">
        <v>14</v>
      </c>
      <c r="C33" s="6" t="n">
        <v>2024</v>
      </c>
      <c r="D33" s="7" t="s">
        <v>10</v>
      </c>
      <c r="E33" s="8" t="n">
        <v>1742</v>
      </c>
      <c r="F33" s="9" t="n">
        <v>57838</v>
      </c>
      <c r="G33" s="7"/>
    </row>
    <row r="34" customFormat="false" ht="18" hidden="false" customHeight="true" outlineLevel="0" collapsed="false">
      <c r="A34" s="10" t="n">
        <v>30</v>
      </c>
      <c r="B34" s="10" t="s">
        <v>15</v>
      </c>
      <c r="C34" s="10" t="n">
        <v>2024</v>
      </c>
      <c r="D34" s="11" t="s">
        <v>10</v>
      </c>
      <c r="E34" s="12" t="n">
        <v>2099</v>
      </c>
      <c r="F34" s="13" t="n">
        <v>62264</v>
      </c>
      <c r="G34" s="11"/>
    </row>
    <row r="35" customFormat="false" ht="18" hidden="false" customHeight="true" outlineLevel="0" collapsed="false">
      <c r="A35" s="6" t="n">
        <v>31</v>
      </c>
      <c r="B35" s="6" t="s">
        <v>16</v>
      </c>
      <c r="C35" s="6" t="n">
        <v>2024</v>
      </c>
      <c r="D35" s="7" t="s">
        <v>10</v>
      </c>
      <c r="E35" s="8" t="n">
        <v>1877</v>
      </c>
      <c r="F35" s="9" t="n">
        <v>61961</v>
      </c>
      <c r="G35" s="7"/>
    </row>
    <row r="36" customFormat="false" ht="18" hidden="false" customHeight="true" outlineLevel="0" collapsed="false">
      <c r="A36" s="10" t="n">
        <v>32</v>
      </c>
      <c r="B36" s="10" t="s">
        <v>17</v>
      </c>
      <c r="C36" s="10" t="n">
        <v>2024</v>
      </c>
      <c r="D36" s="11" t="s">
        <v>10</v>
      </c>
      <c r="E36" s="12" t="n">
        <v>2095</v>
      </c>
      <c r="F36" s="13" t="n">
        <v>63318</v>
      </c>
      <c r="G36" s="11"/>
    </row>
    <row r="37" customFormat="false" ht="18" hidden="false" customHeight="true" outlineLevel="0" collapsed="false">
      <c r="A37" s="6" t="n">
        <v>33</v>
      </c>
      <c r="B37" s="6" t="s">
        <v>18</v>
      </c>
      <c r="C37" s="6" t="n">
        <v>2024</v>
      </c>
      <c r="D37" s="7" t="s">
        <v>10</v>
      </c>
      <c r="E37" s="8" t="n">
        <v>1867</v>
      </c>
      <c r="F37" s="9" t="n">
        <v>59798</v>
      </c>
      <c r="G37" s="7"/>
    </row>
    <row r="38" customFormat="false" ht="18" hidden="false" customHeight="true" outlineLevel="0" collapsed="false">
      <c r="A38" s="10" t="n">
        <v>34</v>
      </c>
      <c r="B38" s="10" t="s">
        <v>19</v>
      </c>
      <c r="C38" s="10" t="n">
        <v>2024</v>
      </c>
      <c r="D38" s="11" t="s">
        <v>10</v>
      </c>
      <c r="E38" s="12" t="n">
        <v>1744</v>
      </c>
      <c r="F38" s="13" t="n">
        <v>58643</v>
      </c>
      <c r="G38" s="11"/>
    </row>
    <row r="39" customFormat="false" ht="18" hidden="false" customHeight="true" outlineLevel="0" collapsed="false">
      <c r="A39" s="6" t="n">
        <v>35</v>
      </c>
      <c r="B39" s="6" t="s">
        <v>20</v>
      </c>
      <c r="C39" s="6" t="n">
        <v>2024</v>
      </c>
      <c r="D39" s="7" t="s">
        <v>10</v>
      </c>
      <c r="E39" s="8" t="n">
        <v>2506</v>
      </c>
      <c r="F39" s="9" t="n">
        <v>71246</v>
      </c>
      <c r="G39" s="7"/>
    </row>
    <row r="40" customFormat="false" ht="18" hidden="false" customHeight="true" outlineLevel="0" collapsed="false">
      <c r="A40" s="10" t="n">
        <v>36</v>
      </c>
      <c r="B40" s="10" t="s">
        <v>21</v>
      </c>
      <c r="C40" s="10" t="n">
        <v>2024</v>
      </c>
      <c r="D40" s="11" t="s">
        <v>10</v>
      </c>
      <c r="E40" s="12" t="n">
        <v>2611</v>
      </c>
      <c r="F40" s="13" t="n">
        <v>75800</v>
      </c>
      <c r="G40" s="11"/>
    </row>
    <row r="42" customFormat="false" ht="15" hidden="false" customHeight="true" outlineLevel="0" collapsed="false">
      <c r="A42" s="14" t="s">
        <v>22</v>
      </c>
      <c r="B42" s="14"/>
      <c r="C42" s="14"/>
      <c r="D42" s="14"/>
      <c r="E42" s="14"/>
      <c r="F42" s="14"/>
      <c r="G42" s="14"/>
    </row>
  </sheetData>
  <mergeCells count="3">
    <mergeCell ref="A1:G1"/>
    <mergeCell ref="A2:G2"/>
    <mergeCell ref="A42:G4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5"/>
    <col collapsed="false" customWidth="true" hidden="false" outlineLevel="0" max="6" min="6" style="1" width="14"/>
    <col collapsed="false" customWidth="true" hidden="false" outlineLevel="0" max="8" min="7" style="1" width="12"/>
  </cols>
  <sheetData>
    <row r="1" customFormat="false" ht="30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15" t="s">
        <v>25</v>
      </c>
      <c r="B4" s="15"/>
      <c r="C4" s="15"/>
      <c r="D4" s="15"/>
      <c r="E4" s="15"/>
      <c r="F4" s="15"/>
      <c r="G4" s="15"/>
      <c r="H4" s="15"/>
    </row>
    <row r="5" customFormat="false" ht="21.75" hidden="false" customHeight="true" outlineLevel="0" collapsed="false">
      <c r="A5" s="5" t="s">
        <v>3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 customFormat="false" ht="18" hidden="false" customHeight="true" outlineLevel="0" collapsed="false">
      <c r="A6" s="7" t="s">
        <v>9</v>
      </c>
      <c r="B6" s="16" t="n">
        <f aca="false">'1. Data Input'!F5</f>
        <v>38019</v>
      </c>
      <c r="C6" s="16" t="n">
        <f aca="false">'1. Data Input'!F17</f>
        <v>39854</v>
      </c>
      <c r="D6" s="16" t="n">
        <f aca="false">'1. Data Input'!F29</f>
        <v>45737</v>
      </c>
      <c r="E6" s="16" t="n">
        <f aca="false">AVERAGE(B6,C6,D6)</f>
        <v>41203.3333333333</v>
      </c>
      <c r="F6" s="17" t="n">
        <f aca="false">E6/AVERAGE($E$6:$E$17)</f>
        <v>0.773462859109432</v>
      </c>
      <c r="G6" s="16" t="n">
        <f aca="false">E6-AVERAGE($E$6:$E$17)</f>
        <v>-12067.9166666667</v>
      </c>
      <c r="H6" s="6" t="str">
        <f aca="false">IF(F6&gt;1.05,"🔥 Peak",IF(F6&lt;0.95,"❄ Low","✓ Normal"))</f>
        <v>❄ Low</v>
      </c>
    </row>
    <row r="7" customFormat="false" ht="18" hidden="false" customHeight="true" outlineLevel="0" collapsed="false">
      <c r="A7" s="11" t="s">
        <v>11</v>
      </c>
      <c r="B7" s="18" t="n">
        <f aca="false">'1. Data Input'!F6</f>
        <v>35007</v>
      </c>
      <c r="C7" s="18" t="n">
        <f aca="false">'1. Data Input'!F18</f>
        <v>38746</v>
      </c>
      <c r="D7" s="18" t="n">
        <f aca="false">'1. Data Input'!F30</f>
        <v>45190</v>
      </c>
      <c r="E7" s="18" t="n">
        <f aca="false">AVERAGE(B7,C7,D7)</f>
        <v>39647.6666666667</v>
      </c>
      <c r="F7" s="19" t="n">
        <f aca="false">E7/AVERAGE($E$6:$E$17)</f>
        <v>0.744260115290455</v>
      </c>
      <c r="G7" s="18" t="n">
        <f aca="false">E7-AVERAGE($E$6:$E$17)</f>
        <v>-13623.5833333333</v>
      </c>
      <c r="H7" s="10" t="str">
        <f aca="false">IF(F7&gt;1.05,"🔥 Peak",IF(F7&lt;0.95,"❄ Low","✓ Normal"))</f>
        <v>❄ Low</v>
      </c>
    </row>
    <row r="8" customFormat="false" ht="18" hidden="false" customHeight="true" outlineLevel="0" collapsed="false">
      <c r="A8" s="7" t="s">
        <v>12</v>
      </c>
      <c r="B8" s="16" t="n">
        <f aca="false">'1. Data Input'!F7</f>
        <v>40219</v>
      </c>
      <c r="C8" s="16" t="n">
        <f aca="false">'1. Data Input'!F19</f>
        <v>45901</v>
      </c>
      <c r="D8" s="16" t="n">
        <f aca="false">'1. Data Input'!F31</f>
        <v>52076</v>
      </c>
      <c r="E8" s="16" t="n">
        <f aca="false">AVERAGE(B8,C8,D8)</f>
        <v>46065.3333333333</v>
      </c>
      <c r="F8" s="17" t="n">
        <f aca="false">E8/AVERAGE($E$6:$E$17)</f>
        <v>0.864731601630023</v>
      </c>
      <c r="G8" s="16" t="n">
        <f aca="false">E8-AVERAGE($E$6:$E$17)</f>
        <v>-7205.91666666666</v>
      </c>
      <c r="H8" s="6" t="str">
        <f aca="false">IF(F8&gt;1.05,"🔥 Peak",IF(F8&lt;0.95,"❄ Low","✓ Normal"))</f>
        <v>❄ Low</v>
      </c>
    </row>
    <row r="9" customFormat="false" ht="18" hidden="false" customHeight="true" outlineLevel="0" collapsed="false">
      <c r="A9" s="11" t="s">
        <v>13</v>
      </c>
      <c r="B9" s="18" t="n">
        <f aca="false">'1. Data Input'!F8</f>
        <v>45047</v>
      </c>
      <c r="C9" s="18" t="n">
        <f aca="false">'1. Data Input'!F20</f>
        <v>48287</v>
      </c>
      <c r="D9" s="18" t="n">
        <f aca="false">'1. Data Input'!F32</f>
        <v>53721</v>
      </c>
      <c r="E9" s="18" t="n">
        <f aca="false">AVERAGE(B9,C9,D9)</f>
        <v>49018.3333333333</v>
      </c>
      <c r="F9" s="19" t="n">
        <f aca="false">E9/AVERAGE($E$6:$E$17)</f>
        <v>0.920164879429962</v>
      </c>
      <c r="G9" s="18" t="n">
        <f aca="false">E9-AVERAGE($E$6:$E$17)</f>
        <v>-4252.91666666666</v>
      </c>
      <c r="H9" s="10" t="str">
        <f aca="false">IF(F9&gt;1.05,"🔥 Peak",IF(F9&lt;0.95,"❄ Low","✓ Normal"))</f>
        <v>❄ Low</v>
      </c>
    </row>
    <row r="10" customFormat="false" ht="18" hidden="false" customHeight="true" outlineLevel="0" collapsed="false">
      <c r="A10" s="7" t="s">
        <v>14</v>
      </c>
      <c r="B10" s="16" t="n">
        <f aca="false">'1. Data Input'!F9</f>
        <v>48102</v>
      </c>
      <c r="C10" s="16" t="n">
        <f aca="false">'1. Data Input'!F21</f>
        <v>52755</v>
      </c>
      <c r="D10" s="16" t="n">
        <f aca="false">'1. Data Input'!F33</f>
        <v>57838</v>
      </c>
      <c r="E10" s="16" t="n">
        <f aca="false">AVERAGE(B10,C10,D10)</f>
        <v>52898.3333333333</v>
      </c>
      <c r="F10" s="17" t="n">
        <f aca="false">E10/AVERAGE($E$6:$E$17)</f>
        <v>0.992999663670992</v>
      </c>
      <c r="G10" s="16" t="n">
        <f aca="false">E10-AVERAGE($E$6:$E$17)</f>
        <v>-372.916666666664</v>
      </c>
      <c r="H10" s="6" t="str">
        <f aca="false">IF(F10&gt;1.05,"🔥 Peak",IF(F10&lt;0.95,"❄ Low","✓ Normal"))</f>
        <v>✓ Normal</v>
      </c>
    </row>
    <row r="11" customFormat="false" ht="18" hidden="false" customHeight="true" outlineLevel="0" collapsed="false">
      <c r="A11" s="11" t="s">
        <v>15</v>
      </c>
      <c r="B11" s="18" t="n">
        <f aca="false">'1. Data Input'!F10</f>
        <v>50772</v>
      </c>
      <c r="C11" s="18" t="n">
        <f aca="false">'1. Data Input'!F22</f>
        <v>56432</v>
      </c>
      <c r="D11" s="18" t="n">
        <f aca="false">'1. Data Input'!F34</f>
        <v>62264</v>
      </c>
      <c r="E11" s="18" t="n">
        <f aca="false">AVERAGE(B11,C11,D11)</f>
        <v>56489.3333333333</v>
      </c>
      <c r="F11" s="19" t="n">
        <f aca="false">E11/AVERAGE($E$6:$E$17)</f>
        <v>1.06040938279716</v>
      </c>
      <c r="G11" s="18" t="n">
        <f aca="false">E11-AVERAGE($E$6:$E$17)</f>
        <v>3218.08333333334</v>
      </c>
      <c r="H11" s="10" t="str">
        <f aca="false">IF(F11&gt;1.05,"🔥 Peak",IF(F11&lt;0.95,"❄ Low","✓ Normal"))</f>
        <v>🔥 Peak</v>
      </c>
    </row>
    <row r="12" customFormat="false" ht="18" hidden="false" customHeight="true" outlineLevel="0" collapsed="false">
      <c r="A12" s="7" t="s">
        <v>16</v>
      </c>
      <c r="B12" s="16" t="n">
        <f aca="false">'1. Data Input'!F11</f>
        <v>48401</v>
      </c>
      <c r="C12" s="16" t="n">
        <f aca="false">'1. Data Input'!F23</f>
        <v>55096</v>
      </c>
      <c r="D12" s="16" t="n">
        <f aca="false">'1. Data Input'!F35</f>
        <v>61961</v>
      </c>
      <c r="E12" s="16" t="n">
        <f aca="false">AVERAGE(B12,C12,D12)</f>
        <v>55152.6666666667</v>
      </c>
      <c r="F12" s="17" t="n">
        <f aca="false">E12/AVERAGE($E$6:$E$17)</f>
        <v>1.03531767448045</v>
      </c>
      <c r="G12" s="16" t="n">
        <f aca="false">E12-AVERAGE($E$6:$E$17)</f>
        <v>1881.41666666666</v>
      </c>
      <c r="H12" s="6" t="str">
        <f aca="false">IF(F12&gt;1.05,"🔥 Peak",IF(F12&lt;0.95,"❄ Low","✓ Normal"))</f>
        <v>✓ Normal</v>
      </c>
    </row>
    <row r="13" customFormat="false" ht="18" hidden="false" customHeight="true" outlineLevel="0" collapsed="false">
      <c r="A13" s="11" t="s">
        <v>17</v>
      </c>
      <c r="B13" s="18" t="n">
        <f aca="false">'1. Data Input'!F12</f>
        <v>52841</v>
      </c>
      <c r="C13" s="18" t="n">
        <f aca="false">'1. Data Input'!F24</f>
        <v>56889</v>
      </c>
      <c r="D13" s="18" t="n">
        <f aca="false">'1. Data Input'!F36</f>
        <v>63318</v>
      </c>
      <c r="E13" s="18" t="n">
        <f aca="false">AVERAGE(B13,C13,D13)</f>
        <v>57682.6666666667</v>
      </c>
      <c r="F13" s="19" t="n">
        <f aca="false">E13/AVERAGE($E$6:$E$17)</f>
        <v>1.08281045904999</v>
      </c>
      <c r="G13" s="18" t="n">
        <f aca="false">E13-AVERAGE($E$6:$E$17)</f>
        <v>4411.41666666666</v>
      </c>
      <c r="H13" s="10" t="str">
        <f aca="false">IF(F13&gt;1.05,"🔥 Peak",IF(F13&lt;0.95,"❄ Low","✓ Normal"))</f>
        <v>🔥 Peak</v>
      </c>
    </row>
    <row r="14" customFormat="false" ht="18" hidden="false" customHeight="true" outlineLevel="0" collapsed="false">
      <c r="A14" s="7" t="s">
        <v>18</v>
      </c>
      <c r="B14" s="16" t="n">
        <f aca="false">'1. Data Input'!F13</f>
        <v>50114</v>
      </c>
      <c r="C14" s="16" t="n">
        <f aca="false">'1. Data Input'!F25</f>
        <v>55574</v>
      </c>
      <c r="D14" s="16" t="n">
        <f aca="false">'1. Data Input'!F37</f>
        <v>59798</v>
      </c>
      <c r="E14" s="16" t="n">
        <f aca="false">AVERAGE(B14,C14,D14)</f>
        <v>55162</v>
      </c>
      <c r="F14" s="17" t="n">
        <f aca="false">E14/AVERAGE($E$6:$E$17)</f>
        <v>1.0354928784288</v>
      </c>
      <c r="G14" s="16" t="n">
        <f aca="false">E14-AVERAGE($E$6:$E$17)</f>
        <v>1890.75</v>
      </c>
      <c r="H14" s="6" t="str">
        <f aca="false">IF(F14&gt;1.05,"🔥 Peak",IF(F14&lt;0.95,"❄ Low","✓ Normal"))</f>
        <v>✓ Normal</v>
      </c>
    </row>
    <row r="15" customFormat="false" ht="18" hidden="false" customHeight="true" outlineLevel="0" collapsed="false">
      <c r="A15" s="11" t="s">
        <v>19</v>
      </c>
      <c r="B15" s="18" t="n">
        <f aca="false">'1. Data Input'!F14</f>
        <v>47954</v>
      </c>
      <c r="C15" s="18" t="n">
        <f aca="false">'1. Data Input'!F26</f>
        <v>52081</v>
      </c>
      <c r="D15" s="18" t="n">
        <f aca="false">'1. Data Input'!F38</f>
        <v>58643</v>
      </c>
      <c r="E15" s="18" t="n">
        <f aca="false">AVERAGE(B15,C15,D15)</f>
        <v>52892.6666666667</v>
      </c>
      <c r="F15" s="19" t="n">
        <f aca="false">E15/AVERAGE($E$6:$E$17)</f>
        <v>0.99289328984521</v>
      </c>
      <c r="G15" s="18" t="n">
        <f aca="false">E15-AVERAGE($E$6:$E$17)</f>
        <v>-378.583333333336</v>
      </c>
      <c r="H15" s="10" t="str">
        <f aca="false">IF(F15&gt;1.05,"🔥 Peak",IF(F15&lt;0.95,"❄ Low","✓ Normal"))</f>
        <v>✓ Normal</v>
      </c>
    </row>
    <row r="16" customFormat="false" ht="18" hidden="false" customHeight="true" outlineLevel="0" collapsed="false">
      <c r="A16" s="7" t="s">
        <v>20</v>
      </c>
      <c r="B16" s="16" t="n">
        <f aca="false">'1. Data Input'!F15</f>
        <v>57566</v>
      </c>
      <c r="C16" s="16" t="n">
        <f aca="false">'1. Data Input'!F27</f>
        <v>63420</v>
      </c>
      <c r="D16" s="16" t="n">
        <f aca="false">'1. Data Input'!F39</f>
        <v>71246</v>
      </c>
      <c r="E16" s="16" t="n">
        <f aca="false">AVERAGE(B16,C16,D16)</f>
        <v>64077.3333333333</v>
      </c>
      <c r="F16" s="17" t="n">
        <f aca="false">E16/AVERAGE($E$6:$E$17)</f>
        <v>1.20285019280256</v>
      </c>
      <c r="G16" s="16" t="n">
        <f aca="false">E16-AVERAGE($E$6:$E$17)</f>
        <v>10806.0833333333</v>
      </c>
      <c r="H16" s="6" t="str">
        <f aca="false">IF(F16&gt;1.05,"🔥 Peak",IF(F16&lt;0.95,"❄ Low","✓ Normal"))</f>
        <v>🔥 Peak</v>
      </c>
    </row>
    <row r="17" customFormat="false" ht="18" hidden="false" customHeight="true" outlineLevel="0" collapsed="false">
      <c r="A17" s="11" t="s">
        <v>21</v>
      </c>
      <c r="B17" s="18" t="n">
        <f aca="false">'1. Data Input'!F16</f>
        <v>62113</v>
      </c>
      <c r="C17" s="18" t="n">
        <f aca="false">'1. Data Input'!F28</f>
        <v>68983</v>
      </c>
      <c r="D17" s="18" t="n">
        <f aca="false">'1. Data Input'!F40</f>
        <v>75800</v>
      </c>
      <c r="E17" s="18" t="n">
        <f aca="false">AVERAGE(B17,C17,D17)</f>
        <v>68965.3333333333</v>
      </c>
      <c r="F17" s="19" t="n">
        <f aca="false">E17/AVERAGE($E$6:$E$17)</f>
        <v>1.29460700346497</v>
      </c>
      <c r="G17" s="18" t="n">
        <f aca="false">E17-AVERAGE($E$6:$E$17)</f>
        <v>15694.0833333333</v>
      </c>
      <c r="H17" s="10" t="str">
        <f aca="false">IF(F17&gt;1.05,"🔥 Peak",IF(F17&lt;0.95,"❄ Low","✓ Normal"))</f>
        <v>🔥 Peak</v>
      </c>
    </row>
    <row r="18" customFormat="false" ht="19.5" hidden="false" customHeight="true" outlineLevel="0" collapsed="false">
      <c r="A18" s="20" t="s">
        <v>33</v>
      </c>
      <c r="B18" s="21" t="n">
        <f aca="false">SUM(B6:B17)</f>
        <v>576155</v>
      </c>
      <c r="C18" s="21" t="n">
        <f aca="false">SUM(C6:C17)</f>
        <v>634018</v>
      </c>
      <c r="D18" s="21" t="n">
        <f aca="false">SUM(D6:D17)</f>
        <v>707592</v>
      </c>
      <c r="E18" s="21" t="n">
        <f aca="false">SUM(E6:E17)</f>
        <v>639255</v>
      </c>
      <c r="F18" s="22" t="n">
        <f aca="false">AVERAGE(F6:F17)</f>
        <v>1</v>
      </c>
      <c r="G18" s="20"/>
      <c r="H18" s="20"/>
    </row>
    <row r="20" customFormat="false" ht="19.5" hidden="false" customHeight="true" outlineLevel="0" collapsed="false">
      <c r="A20" s="15" t="s">
        <v>34</v>
      </c>
      <c r="B20" s="15"/>
      <c r="C20" s="15"/>
      <c r="D20" s="15"/>
      <c r="E20" s="15"/>
      <c r="F20" s="15"/>
      <c r="G20" s="15"/>
      <c r="H20" s="15"/>
    </row>
    <row r="21" customFormat="false" ht="21.75" hidden="false" customHeight="true" outlineLevel="0" collapsed="false">
      <c r="A21" s="5" t="s">
        <v>3</v>
      </c>
      <c r="B21" s="5" t="s">
        <v>35</v>
      </c>
      <c r="C21" s="5" t="s">
        <v>36</v>
      </c>
      <c r="D21" s="5" t="s">
        <v>37</v>
      </c>
      <c r="E21" s="5" t="s">
        <v>38</v>
      </c>
    </row>
    <row r="22" customFormat="false" ht="18" hidden="false" customHeight="true" outlineLevel="0" collapsed="false">
      <c r="A22" s="7" t="s">
        <v>9</v>
      </c>
      <c r="B22" s="23" t="n">
        <f aca="false">(C6-B6)/B6</f>
        <v>0.0482653410137037</v>
      </c>
      <c r="C22" s="23" t="n">
        <f aca="false">(D6-C6)/C6</f>
        <v>0.147613790334722</v>
      </c>
      <c r="D22" s="23" t="n">
        <f aca="false">AVERAGE(B22,C22)</f>
        <v>0.0979395656742127</v>
      </c>
      <c r="E22" s="6" t="str">
        <f aca="false">IF(D22&gt;0.05,"📈 Growing",IF(D22&lt;-0.05,"📉 Declining","➡ Stable"))</f>
        <v>📈 Growing</v>
      </c>
    </row>
    <row r="23" customFormat="false" ht="18" hidden="false" customHeight="true" outlineLevel="0" collapsed="false">
      <c r="A23" s="11" t="s">
        <v>11</v>
      </c>
      <c r="B23" s="24" t="n">
        <f aca="false">(C7-B7)/B7</f>
        <v>0.106807209986574</v>
      </c>
      <c r="C23" s="24" t="n">
        <f aca="false">(D7-C7)/C7</f>
        <v>0.166313942084344</v>
      </c>
      <c r="D23" s="24" t="n">
        <f aca="false">AVERAGE(B23,C23)</f>
        <v>0.136560576035459</v>
      </c>
      <c r="E23" s="10" t="str">
        <f aca="false">IF(D23&gt;0.05,"📈 Growing",IF(D23&lt;-0.05,"📉 Declining","➡ Stable"))</f>
        <v>📈 Growing</v>
      </c>
    </row>
    <row r="24" customFormat="false" ht="18" hidden="false" customHeight="true" outlineLevel="0" collapsed="false">
      <c r="A24" s="7" t="s">
        <v>12</v>
      </c>
      <c r="B24" s="23" t="n">
        <f aca="false">(C8-B8)/B8</f>
        <v>0.141276511101718</v>
      </c>
      <c r="C24" s="23" t="n">
        <f aca="false">(D8-C8)/C8</f>
        <v>0.134528659506329</v>
      </c>
      <c r="D24" s="23" t="n">
        <f aca="false">AVERAGE(B24,C24)</f>
        <v>0.137902585304023</v>
      </c>
      <c r="E24" s="6" t="str">
        <f aca="false">IF(D24&gt;0.05,"📈 Growing",IF(D24&lt;-0.05,"📉 Declining","➡ Stable"))</f>
        <v>📈 Growing</v>
      </c>
    </row>
    <row r="25" customFormat="false" ht="18" hidden="false" customHeight="true" outlineLevel="0" collapsed="false">
      <c r="A25" s="11" t="s">
        <v>13</v>
      </c>
      <c r="B25" s="24" t="n">
        <f aca="false">(C9-B9)/B9</f>
        <v>0.0719248784602748</v>
      </c>
      <c r="C25" s="24" t="n">
        <f aca="false">(D9-C9)/C9</f>
        <v>0.112535465031996</v>
      </c>
      <c r="D25" s="24" t="n">
        <f aca="false">AVERAGE(B25,C25)</f>
        <v>0.0922301717461355</v>
      </c>
      <c r="E25" s="10" t="str">
        <f aca="false">IF(D25&gt;0.05,"📈 Growing",IF(D25&lt;-0.05,"📉 Declining","➡ Stable"))</f>
        <v>📈 Growing</v>
      </c>
    </row>
    <row r="26" customFormat="false" ht="18" hidden="false" customHeight="true" outlineLevel="0" collapsed="false">
      <c r="A26" s="7" t="s">
        <v>14</v>
      </c>
      <c r="B26" s="23" t="n">
        <f aca="false">(C10-B10)/B10</f>
        <v>0.0967319446176874</v>
      </c>
      <c r="C26" s="23" t="n">
        <f aca="false">(D10-C10)/C10</f>
        <v>0.09635105677187</v>
      </c>
      <c r="D26" s="23" t="n">
        <f aca="false">AVERAGE(B26,C26)</f>
        <v>0.0965415006947787</v>
      </c>
      <c r="E26" s="6" t="str">
        <f aca="false">IF(D26&gt;0.05,"📈 Growing",IF(D26&lt;-0.05,"📉 Declining","➡ Stable"))</f>
        <v>📈 Growing</v>
      </c>
    </row>
    <row r="27" customFormat="false" ht="18" hidden="false" customHeight="true" outlineLevel="0" collapsed="false">
      <c r="A27" s="11" t="s">
        <v>15</v>
      </c>
      <c r="B27" s="24" t="n">
        <f aca="false">(C11-B11)/B11</f>
        <v>0.111478767824785</v>
      </c>
      <c r="C27" s="24" t="n">
        <f aca="false">(D11-C11)/C11</f>
        <v>0.103345619506663</v>
      </c>
      <c r="D27" s="24" t="n">
        <f aca="false">AVERAGE(B27,C27)</f>
        <v>0.107412193665724</v>
      </c>
      <c r="E27" s="10" t="str">
        <f aca="false">IF(D27&gt;0.05,"📈 Growing",IF(D27&lt;-0.05,"📉 Declining","➡ Stable"))</f>
        <v>📈 Growing</v>
      </c>
    </row>
    <row r="28" customFormat="false" ht="18" hidden="false" customHeight="true" outlineLevel="0" collapsed="false">
      <c r="A28" s="7" t="s">
        <v>16</v>
      </c>
      <c r="B28" s="23" t="n">
        <f aca="false">(C12-B12)/B12</f>
        <v>0.138323588355612</v>
      </c>
      <c r="C28" s="23" t="n">
        <f aca="false">(D12-C12)/C12</f>
        <v>0.124600696965297</v>
      </c>
      <c r="D28" s="23" t="n">
        <f aca="false">AVERAGE(B28,C28)</f>
        <v>0.131462142660455</v>
      </c>
      <c r="E28" s="6" t="str">
        <f aca="false">IF(D28&gt;0.05,"📈 Growing",IF(D28&lt;-0.05,"📉 Declining","➡ Stable"))</f>
        <v>📈 Growing</v>
      </c>
    </row>
    <row r="29" customFormat="false" ht="18" hidden="false" customHeight="true" outlineLevel="0" collapsed="false">
      <c r="A29" s="11" t="s">
        <v>17</v>
      </c>
      <c r="B29" s="24" t="n">
        <f aca="false">(C13-B13)/B13</f>
        <v>0.076607180030658</v>
      </c>
      <c r="C29" s="24" t="n">
        <f aca="false">(D13-C13)/C13</f>
        <v>0.113009544903233</v>
      </c>
      <c r="D29" s="24" t="n">
        <f aca="false">AVERAGE(B29,C29)</f>
        <v>0.0948083624669453</v>
      </c>
      <c r="E29" s="10" t="str">
        <f aca="false">IF(D29&gt;0.05,"📈 Growing",IF(D29&lt;-0.05,"📉 Declining","➡ Stable"))</f>
        <v>📈 Growing</v>
      </c>
    </row>
    <row r="30" customFormat="false" ht="18" hidden="false" customHeight="true" outlineLevel="0" collapsed="false">
      <c r="A30" s="7" t="s">
        <v>18</v>
      </c>
      <c r="B30" s="23" t="n">
        <f aca="false">(C14-B14)/B14</f>
        <v>0.108951590373947</v>
      </c>
      <c r="C30" s="23" t="n">
        <f aca="false">(D14-C14)/C14</f>
        <v>0.0760067657537697</v>
      </c>
      <c r="D30" s="23" t="n">
        <f aca="false">AVERAGE(B30,C30)</f>
        <v>0.0924791780638586</v>
      </c>
      <c r="E30" s="6" t="str">
        <f aca="false">IF(D30&gt;0.05,"📈 Growing",IF(D30&lt;-0.05,"📉 Declining","➡ Stable"))</f>
        <v>📈 Growing</v>
      </c>
    </row>
    <row r="31" customFormat="false" ht="18" hidden="false" customHeight="true" outlineLevel="0" collapsed="false">
      <c r="A31" s="11" t="s">
        <v>19</v>
      </c>
      <c r="B31" s="24" t="n">
        <f aca="false">(C15-B15)/B15</f>
        <v>0.086061642407307</v>
      </c>
      <c r="C31" s="24" t="n">
        <f aca="false">(D15-C15)/C15</f>
        <v>0.125996044622799</v>
      </c>
      <c r="D31" s="24" t="n">
        <f aca="false">AVERAGE(B31,C31)</f>
        <v>0.106028843515053</v>
      </c>
      <c r="E31" s="10" t="str">
        <f aca="false">IF(D31&gt;0.05,"📈 Growing",IF(D31&lt;-0.05,"📉 Declining","➡ Stable"))</f>
        <v>📈 Growing</v>
      </c>
    </row>
    <row r="32" customFormat="false" ht="18" hidden="false" customHeight="true" outlineLevel="0" collapsed="false">
      <c r="A32" s="7" t="s">
        <v>20</v>
      </c>
      <c r="B32" s="23" t="n">
        <f aca="false">(C16-B16)/B16</f>
        <v>0.101691970955078</v>
      </c>
      <c r="C32" s="23" t="n">
        <f aca="false">(D16-C16)/C16</f>
        <v>0.123399558498896</v>
      </c>
      <c r="D32" s="23" t="n">
        <f aca="false">AVERAGE(B32,C32)</f>
        <v>0.112545764726987</v>
      </c>
      <c r="E32" s="6" t="str">
        <f aca="false">IF(D32&gt;0.05,"📈 Growing",IF(D32&lt;-0.05,"📉 Declining","➡ Stable"))</f>
        <v>📈 Growing</v>
      </c>
    </row>
    <row r="33" customFormat="false" ht="18" hidden="false" customHeight="true" outlineLevel="0" collapsed="false">
      <c r="A33" s="11" t="s">
        <v>21</v>
      </c>
      <c r="B33" s="24" t="n">
        <f aca="false">(C17-B17)/B17</f>
        <v>0.110604865326099</v>
      </c>
      <c r="C33" s="24" t="n">
        <f aca="false">(D17-C17)/C17</f>
        <v>0.0988214487627386</v>
      </c>
      <c r="D33" s="24" t="n">
        <f aca="false">AVERAGE(B33,C33)</f>
        <v>0.104713157044419</v>
      </c>
      <c r="E33" s="10" t="str">
        <f aca="false">IF(D33&gt;0.05,"📈 Growing",IF(D33&lt;-0.05,"📉 Declining","➡ Stable"))</f>
        <v>📈 Growing</v>
      </c>
    </row>
  </sheetData>
  <mergeCells count="4">
    <mergeCell ref="A1:H1"/>
    <mergeCell ref="A2:H2"/>
    <mergeCell ref="A4:H4"/>
    <mergeCell ref="A20:H20"/>
  </mergeCells>
  <conditionalFormatting sqref="B22:D33">
    <cfRule type="colorScale" priority="2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6" min="4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0"/>
  </cols>
  <sheetData>
    <row r="1" customFormat="false" ht="30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40</v>
      </c>
      <c r="B2" s="3"/>
      <c r="C2" s="3"/>
      <c r="D2" s="3"/>
      <c r="E2" s="3"/>
      <c r="F2" s="3"/>
      <c r="G2" s="3"/>
      <c r="H2" s="3"/>
      <c r="I2" s="3"/>
    </row>
    <row r="4" customFormat="false" ht="19.5" hidden="false" customHeight="true" outlineLevel="0" collapsed="false">
      <c r="A4" s="25" t="s">
        <v>41</v>
      </c>
      <c r="B4" s="25"/>
      <c r="C4" s="25"/>
      <c r="D4" s="25"/>
      <c r="E4" s="25"/>
      <c r="F4" s="25"/>
      <c r="G4" s="25"/>
      <c r="H4" s="25"/>
      <c r="I4" s="25"/>
    </row>
    <row r="5" customFormat="false" ht="18" hidden="false" customHeight="true" outlineLevel="0" collapsed="false">
      <c r="A5" s="26" t="s">
        <v>42</v>
      </c>
      <c r="B5" s="27"/>
      <c r="C5" s="28" t="n">
        <v>0.08</v>
      </c>
      <c r="D5" s="29"/>
      <c r="E5" s="29"/>
      <c r="F5" s="29"/>
      <c r="G5" s="29"/>
      <c r="H5" s="29"/>
      <c r="I5" s="29"/>
    </row>
    <row r="6" customFormat="false" ht="18" hidden="false" customHeight="true" outlineLevel="0" collapsed="false">
      <c r="A6" s="26" t="s">
        <v>43</v>
      </c>
      <c r="B6" s="27"/>
      <c r="C6" s="28" t="n">
        <v>0.95</v>
      </c>
      <c r="D6" s="30" t="s">
        <v>44</v>
      </c>
      <c r="E6" s="27"/>
      <c r="F6" s="31" t="n">
        <v>80000</v>
      </c>
      <c r="G6" s="29"/>
      <c r="H6" s="29"/>
      <c r="I6" s="29"/>
    </row>
    <row r="7" customFormat="false" ht="21.75" hidden="false" customHeight="true" outlineLevel="0" collapsed="false">
      <c r="A7" s="32" t="s">
        <v>2</v>
      </c>
      <c r="B7" s="32" t="s">
        <v>3</v>
      </c>
      <c r="C7" s="33" t="s">
        <v>4</v>
      </c>
      <c r="D7" s="32" t="s">
        <v>45</v>
      </c>
      <c r="E7" s="32" t="s">
        <v>46</v>
      </c>
      <c r="F7" s="32" t="s">
        <v>47</v>
      </c>
      <c r="G7" s="32" t="s">
        <v>48</v>
      </c>
      <c r="H7" s="32" t="s">
        <v>49</v>
      </c>
      <c r="I7" s="32" t="s">
        <v>32</v>
      </c>
    </row>
    <row r="8" customFormat="false" ht="19.5" hidden="false" customHeight="true" outlineLevel="0" collapsed="false">
      <c r="A8" s="34" t="n">
        <v>1</v>
      </c>
      <c r="B8" s="34" t="s">
        <v>9</v>
      </c>
      <c r="C8" s="34" t="n">
        <v>2025</v>
      </c>
      <c r="D8" s="35" t="n">
        <f aca="true">TREND('1. Data Input'!$F$5:$F$40,ROW(INDIRECT("1:36")),37)*'2. Trend Analysis'!$F$6</f>
        <v>50420.0880292573</v>
      </c>
      <c r="E8" s="35" t="n">
        <f aca="false">D8*0.85</f>
        <v>42857.0748248687</v>
      </c>
      <c r="F8" s="35" t="n">
        <f aca="false">D8*1.15</f>
        <v>57983.1012336459</v>
      </c>
      <c r="G8" s="35" t="str">
        <f aca="false">$C$7</f>
        <v>Year</v>
      </c>
      <c r="H8" s="36" t="n">
        <f aca="false">D8-$F$6</f>
        <v>-29579.9119707427</v>
      </c>
      <c r="I8" s="34" t="str">
        <f aca="false">IF(D8&gt;=$F$6,"✅ On Track",IF(D8&gt;=$F$6*0.9,"⚠️ Watch","🔴 Below"))</f>
        <v>🔴 Below</v>
      </c>
    </row>
    <row r="9" customFormat="false" ht="19.5" hidden="false" customHeight="true" outlineLevel="0" collapsed="false">
      <c r="A9" s="37" t="n">
        <v>2</v>
      </c>
      <c r="B9" s="37" t="s">
        <v>11</v>
      </c>
      <c r="C9" s="37" t="n">
        <v>2025</v>
      </c>
      <c r="D9" s="38" t="n">
        <f aca="true">TREND('1. Data Input'!$F$5:$F$40,ROW(INDIRECT("1:36")),38)*'2. Trend Analysis'!$F$7</f>
        <v>48995.8278838545</v>
      </c>
      <c r="E9" s="38" t="n">
        <f aca="false">D9*0.85</f>
        <v>41646.4537012764</v>
      </c>
      <c r="F9" s="38" t="n">
        <f aca="false">D9*1.15</f>
        <v>56345.2020664327</v>
      </c>
      <c r="G9" s="38" t="str">
        <f aca="false">$C$7</f>
        <v>Year</v>
      </c>
      <c r="H9" s="39" t="n">
        <f aca="false">D9-$F$6</f>
        <v>-31004.1721161455</v>
      </c>
      <c r="I9" s="37" t="str">
        <f aca="false">IF(D9&gt;=$F$6,"✅ On Track",IF(D9&gt;=$F$6*0.9,"⚠️ Watch","🔴 Below"))</f>
        <v>🔴 Below</v>
      </c>
    </row>
    <row r="10" customFormat="false" ht="19.5" hidden="false" customHeight="true" outlineLevel="0" collapsed="false">
      <c r="A10" s="34" t="n">
        <v>3</v>
      </c>
      <c r="B10" s="34" t="s">
        <v>12</v>
      </c>
      <c r="C10" s="34" t="n">
        <v>2025</v>
      </c>
      <c r="D10" s="35" t="n">
        <f aca="true">TREND('1. Data Input'!$F$5:$F$40,ROW(INDIRECT("1:36")),39)*'2. Trend Analysis'!$F$8</f>
        <v>57483.648546673</v>
      </c>
      <c r="E10" s="35" t="n">
        <f aca="false">D10*0.85</f>
        <v>48861.1012646721</v>
      </c>
      <c r="F10" s="35" t="n">
        <f aca="false">D10*1.15</f>
        <v>66106.195828674</v>
      </c>
      <c r="G10" s="35" t="str">
        <f aca="false">$C$7</f>
        <v>Year</v>
      </c>
      <c r="H10" s="36" t="n">
        <f aca="false">D10-$F$6</f>
        <v>-22516.351453327</v>
      </c>
      <c r="I10" s="34" t="str">
        <f aca="false">IF(D10&gt;=$F$6,"✅ On Track",IF(D10&gt;=$F$6*0.9,"⚠️ Watch","🔴 Below"))</f>
        <v>🔴 Below</v>
      </c>
    </row>
    <row r="11" customFormat="false" ht="19.5" hidden="false" customHeight="true" outlineLevel="0" collapsed="false">
      <c r="A11" s="37" t="n">
        <v>4</v>
      </c>
      <c r="B11" s="37" t="s">
        <v>13</v>
      </c>
      <c r="C11" s="37" t="n">
        <v>2025</v>
      </c>
      <c r="D11" s="38" t="n">
        <f aca="true">TREND('1. Data Input'!$F$5:$F$40,ROW(INDIRECT("1:36")),40)*'2. Trend Analysis'!$F$9</f>
        <v>61761.3118069964</v>
      </c>
      <c r="E11" s="38" t="n">
        <f aca="false">D11*0.85</f>
        <v>52497.1150359469</v>
      </c>
      <c r="F11" s="38" t="n">
        <f aca="false">D11*1.15</f>
        <v>71025.5085780458</v>
      </c>
      <c r="G11" s="38" t="str">
        <f aca="false">$C$7</f>
        <v>Year</v>
      </c>
      <c r="H11" s="39" t="n">
        <f aca="false">D11-$F$6</f>
        <v>-18238.6881930036</v>
      </c>
      <c r="I11" s="37" t="str">
        <f aca="false">IF(D11&gt;=$F$6,"✅ On Track",IF(D11&gt;=$F$6*0.9,"⚠️ Watch","🔴 Below"))</f>
        <v>🔴 Below</v>
      </c>
    </row>
    <row r="12" customFormat="false" ht="19.5" hidden="false" customHeight="true" outlineLevel="0" collapsed="false">
      <c r="A12" s="34" t="n">
        <v>5</v>
      </c>
      <c r="B12" s="34" t="s">
        <v>14</v>
      </c>
      <c r="C12" s="34" t="n">
        <v>2025</v>
      </c>
      <c r="D12" s="35" t="n">
        <f aca="true">TREND('1. Data Input'!$F$5:$F$40,ROW(INDIRECT("1:36")),41)*'2. Trend Analysis'!$F$10</f>
        <v>67289.5812843069</v>
      </c>
      <c r="E12" s="35" t="n">
        <f aca="false">D12*0.85</f>
        <v>57196.1440916609</v>
      </c>
      <c r="F12" s="35" t="n">
        <f aca="false">D12*1.15</f>
        <v>77383.0184769529</v>
      </c>
      <c r="G12" s="35" t="str">
        <f aca="false">$C$7</f>
        <v>Year</v>
      </c>
      <c r="H12" s="36" t="n">
        <f aca="false">D12-$F$6</f>
        <v>-12710.4187156931</v>
      </c>
      <c r="I12" s="34" t="str">
        <f aca="false">IF(D12&gt;=$F$6,"✅ On Track",IF(D12&gt;=$F$6*0.9,"⚠️ Watch","🔴 Below"))</f>
        <v>🔴 Below</v>
      </c>
    </row>
    <row r="13" customFormat="false" ht="19.5" hidden="false" customHeight="true" outlineLevel="0" collapsed="false">
      <c r="A13" s="37" t="n">
        <v>6</v>
      </c>
      <c r="B13" s="37" t="s">
        <v>15</v>
      </c>
      <c r="C13" s="37" t="n">
        <v>2025</v>
      </c>
      <c r="D13" s="38" t="n">
        <f aca="true">TREND('1. Data Input'!$F$5:$F$40,ROW(INDIRECT("1:36")),42)*'2. Trend Analysis'!$F$11</f>
        <v>72540.5612113401</v>
      </c>
      <c r="E13" s="38" t="n">
        <f aca="false">D13*0.85</f>
        <v>61659.4770296391</v>
      </c>
      <c r="F13" s="38" t="n">
        <f aca="false">D13*1.15</f>
        <v>83421.6453930411</v>
      </c>
      <c r="G13" s="38" t="str">
        <f aca="false">$C$7</f>
        <v>Year</v>
      </c>
      <c r="H13" s="39" t="n">
        <f aca="false">D13-$F$6</f>
        <v>-7459.4387886599</v>
      </c>
      <c r="I13" s="37" t="str">
        <f aca="false">IF(D13&gt;=$F$6,"✅ On Track",IF(D13&gt;=$F$6*0.9,"⚠️ Watch","🔴 Below"))</f>
        <v>⚠️ Watch</v>
      </c>
    </row>
    <row r="14" customFormat="false" ht="19.5" hidden="false" customHeight="true" outlineLevel="0" collapsed="false">
      <c r="A14" s="34" t="n">
        <v>7</v>
      </c>
      <c r="B14" s="34" t="s">
        <v>16</v>
      </c>
      <c r="C14" s="34" t="n">
        <v>2025</v>
      </c>
      <c r="D14" s="35" t="n">
        <f aca="true">TREND('1. Data Input'!$F$5:$F$40,ROW(INDIRECT("1:36")),43)*'2. Trend Analysis'!$F$12</f>
        <v>71490.9547272913</v>
      </c>
      <c r="E14" s="35" t="n">
        <f aca="false">D14*0.85</f>
        <v>60767.3115181976</v>
      </c>
      <c r="F14" s="35" t="n">
        <f aca="false">D14*1.15</f>
        <v>82214.597936385</v>
      </c>
      <c r="G14" s="35" t="str">
        <f aca="false">$C$7</f>
        <v>Year</v>
      </c>
      <c r="H14" s="36" t="n">
        <f aca="false">D14-$F$6</f>
        <v>-8509.04527270873</v>
      </c>
      <c r="I14" s="34" t="str">
        <f aca="false">IF(D14&gt;=$F$6,"✅ On Track",IF(D14&gt;=$F$6*0.9,"⚠️ Watch","🔴 Below"))</f>
        <v>🔴 Below</v>
      </c>
    </row>
    <row r="15" customFormat="false" ht="19.5" hidden="false" customHeight="true" outlineLevel="0" collapsed="false">
      <c r="A15" s="37" t="n">
        <v>8</v>
      </c>
      <c r="B15" s="37" t="s">
        <v>17</v>
      </c>
      <c r="C15" s="37" t="n">
        <v>2025</v>
      </c>
      <c r="D15" s="38" t="n">
        <f aca="true">TREND('1. Data Input'!$F$5:$F$40,ROW(INDIRECT("1:36")),44)*'2. Trend Analysis'!$F$13</f>
        <v>75467.8955573653</v>
      </c>
      <c r="E15" s="38" t="n">
        <f aca="false">D15*0.85</f>
        <v>64147.7112237605</v>
      </c>
      <c r="F15" s="38" t="n">
        <f aca="false">D15*1.15</f>
        <v>86788.0798909701</v>
      </c>
      <c r="G15" s="38" t="str">
        <f aca="false">$C$7</f>
        <v>Year</v>
      </c>
      <c r="H15" s="39" t="n">
        <f aca="false">D15-$F$6</f>
        <v>-4532.10444263471</v>
      </c>
      <c r="I15" s="37" t="str">
        <f aca="false">IF(D15&gt;=$F$6,"✅ On Track",IF(D15&gt;=$F$6*0.9,"⚠️ Watch","🔴 Below"))</f>
        <v>⚠️ Watch</v>
      </c>
    </row>
    <row r="16" customFormat="false" ht="19.5" hidden="false" customHeight="true" outlineLevel="0" collapsed="false">
      <c r="A16" s="34" t="n">
        <v>9</v>
      </c>
      <c r="B16" s="34" t="s">
        <v>18</v>
      </c>
      <c r="C16" s="34" t="n">
        <v>2025</v>
      </c>
      <c r="D16" s="35" t="n">
        <f aca="true">TREND('1. Data Input'!$F$5:$F$40,ROW(INDIRECT("1:36")),45)*'2. Trend Analysis'!$F$14</f>
        <v>72837.0164495815</v>
      </c>
      <c r="E16" s="35" t="n">
        <f aca="false">D16*0.85</f>
        <v>61911.4639821443</v>
      </c>
      <c r="F16" s="35" t="n">
        <f aca="false">D16*1.15</f>
        <v>83762.5689170187</v>
      </c>
      <c r="G16" s="35" t="str">
        <f aca="false">$C$7</f>
        <v>Year</v>
      </c>
      <c r="H16" s="36" t="n">
        <f aca="false">D16-$F$6</f>
        <v>-7162.9835504185</v>
      </c>
      <c r="I16" s="34" t="str">
        <f aca="false">IF(D16&gt;=$F$6,"✅ On Track",IF(D16&gt;=$F$6*0.9,"⚠️ Watch","🔴 Below"))</f>
        <v>⚠️ Watch</v>
      </c>
    </row>
    <row r="17" customFormat="false" ht="19.5" hidden="false" customHeight="true" outlineLevel="0" collapsed="false">
      <c r="A17" s="37" t="n">
        <v>10</v>
      </c>
      <c r="B17" s="37" t="s">
        <v>19</v>
      </c>
      <c r="C17" s="37" t="n">
        <v>2025</v>
      </c>
      <c r="D17" s="38" t="n">
        <f aca="true">TREND('1. Data Input'!$F$5:$F$40,ROW(INDIRECT("1:36")),46)*'2. Trend Analysis'!$F$15</f>
        <v>70480.0854861425</v>
      </c>
      <c r="E17" s="38" t="n">
        <f aca="false">D17*0.85</f>
        <v>59908.0726632211</v>
      </c>
      <c r="F17" s="38" t="n">
        <f aca="false">D17*1.15</f>
        <v>81052.0983090639</v>
      </c>
      <c r="G17" s="38" t="str">
        <f aca="false">$C$7</f>
        <v>Year</v>
      </c>
      <c r="H17" s="39" t="n">
        <f aca="false">D17-$F$6</f>
        <v>-9519.91451385751</v>
      </c>
      <c r="I17" s="37" t="str">
        <f aca="false">IF(D17&gt;=$F$6,"✅ On Track",IF(D17&gt;=$F$6*0.9,"⚠️ Watch","🔴 Below"))</f>
        <v>🔴 Below</v>
      </c>
    </row>
    <row r="18" customFormat="false" ht="19.5" hidden="false" customHeight="true" outlineLevel="0" collapsed="false">
      <c r="A18" s="34" t="n">
        <v>11</v>
      </c>
      <c r="B18" s="34" t="s">
        <v>20</v>
      </c>
      <c r="C18" s="34" t="n">
        <v>2025</v>
      </c>
      <c r="D18" s="35" t="n">
        <f aca="true">TREND('1. Data Input'!$F$5:$F$40,ROW(INDIRECT("1:36")),47)*'2. Trend Analysis'!$F$16</f>
        <v>86158.5621668902</v>
      </c>
      <c r="E18" s="35" t="n">
        <f aca="false">D18*0.85</f>
        <v>73234.7778418566</v>
      </c>
      <c r="F18" s="35" t="n">
        <f aca="false">D18*1.15</f>
        <v>99082.3464919237</v>
      </c>
      <c r="G18" s="35" t="str">
        <f aca="false">$C$7</f>
        <v>Year</v>
      </c>
      <c r="H18" s="36" t="n">
        <f aca="false">D18-$F$6</f>
        <v>6158.56216689016</v>
      </c>
      <c r="I18" s="34" t="str">
        <f aca="false">IF(D18&gt;=$F$6,"✅ On Track",IF(D18&gt;=$F$6*0.9,"⚠️ Watch","🔴 Below"))</f>
        <v>✅ On Track</v>
      </c>
    </row>
    <row r="19" customFormat="false" ht="19.5" hidden="false" customHeight="true" outlineLevel="0" collapsed="false">
      <c r="A19" s="37" t="n">
        <v>12</v>
      </c>
      <c r="B19" s="37" t="s">
        <v>21</v>
      </c>
      <c r="C19" s="37" t="n">
        <v>2025</v>
      </c>
      <c r="D19" s="38" t="n">
        <f aca="true">TREND('1. Data Input'!$F$5:$F$40,ROW(INDIRECT("1:36")),48)*'2. Trend Analysis'!$F$17</f>
        <v>93564.8630430579</v>
      </c>
      <c r="E19" s="38" t="n">
        <f aca="false">D19*0.85</f>
        <v>79530.1335865992</v>
      </c>
      <c r="F19" s="38" t="n">
        <f aca="false">D19*1.15</f>
        <v>107599.592499517</v>
      </c>
      <c r="G19" s="38" t="str">
        <f aca="false">$C$7</f>
        <v>Year</v>
      </c>
      <c r="H19" s="39" t="n">
        <f aca="false">D19-$F$6</f>
        <v>13564.8630430578</v>
      </c>
      <c r="I19" s="37" t="str">
        <f aca="false">IF(D19&gt;=$F$6,"✅ On Track",IF(D19&gt;=$F$6*0.9,"⚠️ Watch","🔴 Below"))</f>
        <v>✅ On Track</v>
      </c>
    </row>
    <row r="20" customFormat="false" ht="21.75" hidden="false" customHeight="true" outlineLevel="0" collapsed="false">
      <c r="A20" s="20"/>
      <c r="B20" s="20" t="s">
        <v>50</v>
      </c>
      <c r="C20" s="20"/>
      <c r="D20" s="21" t="n">
        <f aca="false">SUM(D8:D19)</f>
        <v>828490.396192757</v>
      </c>
      <c r="E20" s="21" t="n">
        <f aca="false">SUM(E8:E19)</f>
        <v>704216.836763843</v>
      </c>
      <c r="F20" s="21" t="n">
        <f aca="false">SUM(F8:F19)</f>
        <v>952763.95562167</v>
      </c>
      <c r="G20" s="40" t="n">
        <f aca="false">$F$6*12</f>
        <v>960000</v>
      </c>
      <c r="H20" s="21" t="n">
        <f aca="false">SUM(H8:H19)</f>
        <v>-131509.603807243</v>
      </c>
      <c r="I20" s="20"/>
    </row>
  </sheetData>
  <mergeCells count="4">
    <mergeCell ref="A1:I1"/>
    <mergeCell ref="A2:I2"/>
    <mergeCell ref="A4:I4"/>
    <mergeCell ref="B20:C20"/>
  </mergeCells>
  <conditionalFormatting sqref="I8:I19">
    <cfRule type="expression" priority="2" aboveAverage="0" equalAverage="0" bottom="0" percent="0" rank="0" text="" dxfId="0">
      <formula>ISNUMBER(SEARCH("On Track",I8))</formula>
    </cfRule>
    <cfRule type="expression" priority="3" aboveAverage="0" equalAverage="0" bottom="0" percent="0" rank="0" text="" dxfId="1">
      <formula>ISNUMBER(SEARCH("Below",I8))</formula>
    </cfRule>
  </conditionalFormatting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1"/>
  </cols>
  <sheetData>
    <row r="1" customFormat="false" ht="36" hidden="false" customHeight="true" outlineLevel="0" collapsed="false">
      <c r="A1" s="41" t="s">
        <v>51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customFormat="false" ht="18" hidden="false" customHeight="true" outlineLevel="0" collapsed="false">
      <c r="A2" s="3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A4" s="15" t="s">
        <v>53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customFormat="false" ht="15.75" hidden="false" customHeight="true" outlineLevel="0" collapsed="false">
      <c r="A5" s="42" t="s">
        <v>54</v>
      </c>
      <c r="B5" s="42"/>
      <c r="C5" s="42"/>
      <c r="D5" s="43" t="s">
        <v>55</v>
      </c>
      <c r="E5" s="43"/>
      <c r="F5" s="43"/>
      <c r="G5" s="44" t="s">
        <v>56</v>
      </c>
      <c r="H5" s="44"/>
      <c r="I5" s="44"/>
      <c r="J5" s="45" t="s">
        <v>57</v>
      </c>
      <c r="K5" s="45"/>
      <c r="L5" s="45"/>
    </row>
    <row r="6" customFormat="false" ht="27.75" hidden="false" customHeight="true" outlineLevel="0" collapsed="false">
      <c r="A6" s="46" t="n">
        <f aca="false">SUM('1. Data Input'!F29:F40)</f>
        <v>707592</v>
      </c>
      <c r="B6" s="46"/>
      <c r="C6" s="46"/>
      <c r="D6" s="47" t="n">
        <f aca="false">('2. Trend Analysis'!E18-'2. Trend Analysis'!D18)/'2. Trend Analysis'!D18</f>
        <v>-0.0965768408913611</v>
      </c>
      <c r="E6" s="47"/>
      <c r="F6" s="47"/>
      <c r="G6" s="48" t="n">
        <f aca="false">MAX('1. Data Input'!F29:F40)</f>
        <v>75800</v>
      </c>
      <c r="H6" s="48"/>
      <c r="I6" s="48"/>
      <c r="J6" s="49" t="n">
        <f aca="false">SUM('3. Forecast Engine'!D8:D19)</f>
        <v>828490.396192757</v>
      </c>
      <c r="K6" s="49"/>
      <c r="L6" s="49"/>
    </row>
    <row r="7" customFormat="false" ht="9.75" hidden="false" customHeight="true" outlineLevel="0" collapsed="false">
      <c r="A7" s="46"/>
      <c r="B7" s="46"/>
      <c r="C7" s="46"/>
      <c r="D7" s="47"/>
      <c r="E7" s="47"/>
      <c r="F7" s="47"/>
      <c r="G7" s="48"/>
      <c r="H7" s="48"/>
      <c r="I7" s="48"/>
      <c r="J7" s="49"/>
      <c r="K7" s="49"/>
      <c r="L7" s="49"/>
    </row>
    <row r="27" customFormat="false" ht="19.5" hidden="false" customHeight="true" outlineLevel="0" collapsed="false">
      <c r="A27" s="50" t="s">
        <v>58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</row>
    <row r="28" customFormat="false" ht="18" hidden="false" customHeight="true" outlineLevel="0" collapsed="false">
      <c r="A28" s="51" t="s">
        <v>59</v>
      </c>
      <c r="B28" s="51"/>
      <c r="C28" s="51"/>
      <c r="D28" s="51"/>
      <c r="E28" s="51"/>
      <c r="F28" s="51"/>
      <c r="G28" s="52" t="str">
        <f aca="false">INDEX('1. Data Input'!B5:B40,MATCH(MAX('1. Data Input'!F29:F40),'1. Data Input'!F29:F40,0)+24)</f>
        <v>December</v>
      </c>
      <c r="H28" s="52"/>
      <c r="I28" s="52"/>
      <c r="J28" s="52"/>
      <c r="K28" s="52"/>
      <c r="L28" s="52"/>
    </row>
    <row r="29" customFormat="false" ht="18" hidden="false" customHeight="true" outlineLevel="0" collapsed="false">
      <c r="A29" s="53" t="s">
        <v>60</v>
      </c>
      <c r="B29" s="53"/>
      <c r="C29" s="53"/>
      <c r="D29" s="53"/>
      <c r="E29" s="53"/>
      <c r="F29" s="53"/>
      <c r="G29" s="52" t="str">
        <f aca="false">INDEX('1. Data Input'!B5:B40,MATCH(MIN('1. Data Input'!F29:F40),'1. Data Input'!F29:F40,0)+24)</f>
        <v>February</v>
      </c>
      <c r="H29" s="52"/>
      <c r="I29" s="52"/>
      <c r="J29" s="52"/>
      <c r="K29" s="52"/>
      <c r="L29" s="52"/>
    </row>
    <row r="30" customFormat="false" ht="15" hidden="false" customHeight="true" outlineLevel="0" collapsed="false">
      <c r="A30" s="51" t="s">
        <v>61</v>
      </c>
      <c r="B30" s="51"/>
      <c r="C30" s="51"/>
      <c r="D30" s="51"/>
      <c r="E30" s="51"/>
      <c r="F30" s="51"/>
      <c r="G30" s="54" t="n">
        <f aca="false">AVERAGE('1. Data Input'!F29:F40)</f>
        <v>58966</v>
      </c>
      <c r="H30" s="54"/>
      <c r="I30" s="54"/>
      <c r="J30" s="54"/>
      <c r="K30" s="54"/>
      <c r="L30" s="54"/>
    </row>
    <row r="31" customFormat="false" ht="15" hidden="false" customHeight="true" outlineLevel="0" collapsed="false">
      <c r="A31" s="53" t="s">
        <v>62</v>
      </c>
      <c r="B31" s="53"/>
      <c r="C31" s="53"/>
      <c r="D31" s="53"/>
      <c r="E31" s="53"/>
      <c r="F31" s="53"/>
      <c r="G31" s="55" t="n">
        <f aca="false">COUNTIF('3. Forecast Engine'!I8:I19,"*On Track*")</f>
        <v>2</v>
      </c>
      <c r="H31" s="55"/>
      <c r="I31" s="55"/>
      <c r="J31" s="55"/>
      <c r="K31" s="55"/>
      <c r="L31" s="55"/>
    </row>
    <row r="32" customFormat="false" ht="15" hidden="false" customHeight="true" outlineLevel="0" collapsed="false">
      <c r="A32" s="51" t="s">
        <v>63</v>
      </c>
      <c r="B32" s="51"/>
      <c r="C32" s="51"/>
      <c r="D32" s="51"/>
      <c r="E32" s="51"/>
      <c r="F32" s="51"/>
      <c r="G32" s="52" t="n">
        <f aca="false">COUNTIF('3. Forecast Engine'!I8:I19,"*Below*")</f>
        <v>7</v>
      </c>
      <c r="H32" s="52"/>
      <c r="I32" s="52"/>
      <c r="J32" s="52"/>
      <c r="K32" s="52"/>
      <c r="L32" s="52"/>
    </row>
    <row r="33" customFormat="false" ht="15" hidden="false" customHeight="true" outlineLevel="0" collapsed="false">
      <c r="A33" s="53" t="s">
        <v>64</v>
      </c>
      <c r="B33" s="53"/>
      <c r="C33" s="53"/>
      <c r="D33" s="53"/>
      <c r="E33" s="53"/>
      <c r="F33" s="53"/>
      <c r="G33" s="52" t="n">
        <f aca="false">COUNTIF('3. Forecast Engine'!I8:I19,"*Below*")</f>
        <v>7</v>
      </c>
      <c r="H33" s="52"/>
      <c r="I33" s="52"/>
      <c r="J33" s="52"/>
      <c r="K33" s="52"/>
      <c r="L33" s="52"/>
    </row>
    <row r="34" customFormat="false" ht="15" hidden="false" customHeight="true" outlineLevel="0" collapsed="false">
      <c r="A34" s="1" t="s">
        <v>65</v>
      </c>
      <c r="B34" s="56" t="n">
        <f aca="false">'1. Data Input'!F8</f>
        <v>45047</v>
      </c>
      <c r="C34" s="56" t="n">
        <f aca="false">'1. Data Input'!F20</f>
        <v>48287</v>
      </c>
      <c r="D34" s="56" t="n">
        <f aca="false">'1. Data Input'!F32</f>
        <v>53721</v>
      </c>
      <c r="E34" s="56" t="n">
        <f aca="false">'3. Forecast Engine'!D11</f>
        <v>61761.3118069964</v>
      </c>
      <c r="H34" s="57" t="n">
        <f aca="false">'2. Trend Analysis'!F9</f>
        <v>0.920164879429962</v>
      </c>
    </row>
    <row r="35" customFormat="false" ht="15" hidden="false" customHeight="true" outlineLevel="0" collapsed="false">
      <c r="A35" s="1" t="s">
        <v>14</v>
      </c>
      <c r="B35" s="56" t="n">
        <f aca="false">'1. Data Input'!F9</f>
        <v>48102</v>
      </c>
      <c r="C35" s="56" t="n">
        <f aca="false">'1. Data Input'!F21</f>
        <v>52755</v>
      </c>
      <c r="D35" s="56" t="n">
        <f aca="false">'1. Data Input'!F33</f>
        <v>57838</v>
      </c>
      <c r="E35" s="56" t="n">
        <f aca="false">'3. Forecast Engine'!D12</f>
        <v>67289.5812843069</v>
      </c>
      <c r="H35" s="57" t="n">
        <f aca="false">'2. Trend Analysis'!F10</f>
        <v>0.992999663670992</v>
      </c>
    </row>
    <row r="36" customFormat="false" ht="15" hidden="false" customHeight="true" outlineLevel="0" collapsed="false">
      <c r="A36" s="1" t="s">
        <v>66</v>
      </c>
      <c r="B36" s="56" t="n">
        <f aca="false">'1. Data Input'!F10</f>
        <v>50772</v>
      </c>
      <c r="C36" s="56" t="n">
        <f aca="false">'1. Data Input'!F22</f>
        <v>56432</v>
      </c>
      <c r="D36" s="56" t="n">
        <f aca="false">'1. Data Input'!F34</f>
        <v>62264</v>
      </c>
      <c r="E36" s="56" t="n">
        <f aca="false">'3. Forecast Engine'!D13</f>
        <v>72540.5612113401</v>
      </c>
      <c r="H36" s="57" t="n">
        <f aca="false">'2. Trend Analysis'!F11</f>
        <v>1.06040938279716</v>
      </c>
    </row>
    <row r="37" customFormat="false" ht="15" hidden="false" customHeight="true" outlineLevel="0" collapsed="false">
      <c r="A37" s="1" t="s">
        <v>67</v>
      </c>
      <c r="B37" s="56" t="n">
        <f aca="false">'1. Data Input'!F11</f>
        <v>48401</v>
      </c>
      <c r="C37" s="56" t="n">
        <f aca="false">'1. Data Input'!F23</f>
        <v>55096</v>
      </c>
      <c r="D37" s="56" t="n">
        <f aca="false">'1. Data Input'!F35</f>
        <v>61961</v>
      </c>
      <c r="E37" s="56" t="n">
        <f aca="false">'3. Forecast Engine'!D14</f>
        <v>71490.9547272913</v>
      </c>
      <c r="H37" s="57" t="n">
        <f aca="false">'2. Trend Analysis'!F12</f>
        <v>1.03531767448045</v>
      </c>
    </row>
    <row r="38" customFormat="false" ht="15" hidden="false" customHeight="true" outlineLevel="0" collapsed="false">
      <c r="A38" s="1" t="s">
        <v>68</v>
      </c>
      <c r="B38" s="56" t="n">
        <f aca="false">'1. Data Input'!F12</f>
        <v>52841</v>
      </c>
      <c r="C38" s="56" t="n">
        <f aca="false">'1. Data Input'!F24</f>
        <v>56889</v>
      </c>
      <c r="D38" s="56" t="n">
        <f aca="false">'1. Data Input'!F36</f>
        <v>63318</v>
      </c>
      <c r="E38" s="56" t="n">
        <f aca="false">'3. Forecast Engine'!D15</f>
        <v>75467.8955573653</v>
      </c>
      <c r="H38" s="57" t="n">
        <f aca="false">'2. Trend Analysis'!F13</f>
        <v>1.08281045904999</v>
      </c>
    </row>
    <row r="39" customFormat="false" ht="15" hidden="false" customHeight="true" outlineLevel="0" collapsed="false">
      <c r="A39" s="1" t="s">
        <v>69</v>
      </c>
      <c r="B39" s="56" t="n">
        <f aca="false">'1. Data Input'!F13</f>
        <v>50114</v>
      </c>
      <c r="C39" s="56" t="n">
        <f aca="false">'1. Data Input'!F25</f>
        <v>55574</v>
      </c>
      <c r="D39" s="56" t="n">
        <f aca="false">'1. Data Input'!F37</f>
        <v>59798</v>
      </c>
      <c r="E39" s="56" t="n">
        <f aca="false">'3. Forecast Engine'!D16</f>
        <v>72837.0164495815</v>
      </c>
      <c r="H39" s="57" t="n">
        <f aca="false">'2. Trend Analysis'!F14</f>
        <v>1.0354928784288</v>
      </c>
    </row>
    <row r="40" customFormat="false" ht="15" hidden="false" customHeight="true" outlineLevel="0" collapsed="false">
      <c r="A40" s="1" t="s">
        <v>70</v>
      </c>
      <c r="B40" s="56" t="n">
        <f aca="false">'1. Data Input'!F14</f>
        <v>47954</v>
      </c>
      <c r="C40" s="56" t="n">
        <f aca="false">'1. Data Input'!F26</f>
        <v>52081</v>
      </c>
      <c r="D40" s="56" t="n">
        <f aca="false">'1. Data Input'!F38</f>
        <v>58643</v>
      </c>
      <c r="E40" s="56" t="n">
        <f aca="false">'3. Forecast Engine'!D17</f>
        <v>70480.0854861425</v>
      </c>
      <c r="H40" s="57" t="n">
        <f aca="false">'2. Trend Analysis'!F15</f>
        <v>0.99289328984521</v>
      </c>
    </row>
    <row r="41" customFormat="false" ht="15" hidden="false" customHeight="true" outlineLevel="0" collapsed="false">
      <c r="A41" s="1" t="s">
        <v>71</v>
      </c>
      <c r="B41" s="56" t="n">
        <f aca="false">'1. Data Input'!F15</f>
        <v>57566</v>
      </c>
      <c r="C41" s="56" t="n">
        <f aca="false">'1. Data Input'!F27</f>
        <v>63420</v>
      </c>
      <c r="D41" s="56" t="n">
        <f aca="false">'1. Data Input'!F39</f>
        <v>71246</v>
      </c>
      <c r="E41" s="56" t="n">
        <f aca="false">'3. Forecast Engine'!D18</f>
        <v>86158.5621668902</v>
      </c>
      <c r="H41" s="57" t="n">
        <f aca="false">'2. Trend Analysis'!F16</f>
        <v>1.20285019280256</v>
      </c>
    </row>
    <row r="42" customFormat="false" ht="15" hidden="false" customHeight="true" outlineLevel="0" collapsed="false">
      <c r="A42" s="1" t="s">
        <v>72</v>
      </c>
      <c r="B42" s="56" t="n">
        <f aca="false">'1. Data Input'!F16</f>
        <v>62113</v>
      </c>
      <c r="C42" s="56" t="n">
        <f aca="false">'1. Data Input'!F28</f>
        <v>68983</v>
      </c>
      <c r="D42" s="56" t="n">
        <f aca="false">'1. Data Input'!F40</f>
        <v>75800</v>
      </c>
      <c r="E42" s="56" t="n">
        <f aca="false">'3. Forecast Engine'!D19</f>
        <v>93564.8630430579</v>
      </c>
      <c r="H42" s="57" t="n">
        <f aca="false">'2. Trend Analysis'!F17</f>
        <v>1.29460700346497</v>
      </c>
    </row>
    <row r="43" customFormat="false" ht="12.75" hidden="false" customHeight="true" outlineLevel="0" collapsed="false"/>
  </sheetData>
  <mergeCells count="24">
    <mergeCell ref="A1:L1"/>
    <mergeCell ref="A2:L2"/>
    <mergeCell ref="A4:L4"/>
    <mergeCell ref="A5:C5"/>
    <mergeCell ref="D5:F5"/>
    <mergeCell ref="G5:I5"/>
    <mergeCell ref="J5:L5"/>
    <mergeCell ref="A6:C7"/>
    <mergeCell ref="D6:F7"/>
    <mergeCell ref="G6:I7"/>
    <mergeCell ref="J6:L7"/>
    <mergeCell ref="A27:L27"/>
    <mergeCell ref="A28:F28"/>
    <mergeCell ref="G28:L28"/>
    <mergeCell ref="A29:F29"/>
    <mergeCell ref="G29:L29"/>
    <mergeCell ref="A30:F30"/>
    <mergeCell ref="G30:L30"/>
    <mergeCell ref="A31:F31"/>
    <mergeCell ref="G31:L31"/>
    <mergeCell ref="A32:F32"/>
    <mergeCell ref="G32:L32"/>
    <mergeCell ref="A33:F33"/>
    <mergeCell ref="G33:L33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2026-05-29T07:43:50Z</dcterms:created>
  <dc:creator>openpyxl</dc:creator>
  <dc:description/>
  <dc:language>en-US</dc:language>
  <cp:lastModifiedBy/>
  <dcterms:modified xsi:type="dcterms:W3CDTF">2026-05-29T07:45:05Z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